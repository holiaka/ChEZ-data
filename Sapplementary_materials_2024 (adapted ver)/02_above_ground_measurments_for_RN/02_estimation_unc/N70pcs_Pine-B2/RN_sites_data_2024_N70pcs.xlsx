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N_filtration_data" sheetId="1" state="visible" r:id="rId2"/>
  </sheets>
  <definedNames>
    <definedName function="false" hidden="true" localSheetId="0" name="_xlnm._FilterDatabase" vbProcedure="false">RN_filtration_data!$A$1:$AY$71</definedName>
    <definedName function="false" hidden="false" localSheetId="0" name="_xlnm._FilterDatabase" vbProcedure="false">RN_filtration_data!$A$1:$AY$174</definedName>
    <definedName function="false" hidden="false" localSheetId="0" name="_xlnm._FilterDatabase_0_0" vbProcedure="false">RN_filtration_data!$A$1:$AY$1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<sst xmlns="http://schemas.openxmlformats.org/spreadsheetml/2006/main" count="541" uniqueCount="266">
  <si>
    <t xml:space="preserve">Ідентифікатор</t>
  </si>
  <si>
    <t xml:space="preserve">Site #</t>
  </si>
  <si>
    <t xml:space="preserve">Species</t>
  </si>
  <si>
    <t xml:space="preserve">Species_ID</t>
  </si>
  <si>
    <t xml:space="preserve">Ntrees at site</t>
  </si>
  <si>
    <t xml:space="preserve">% composition</t>
  </si>
  <si>
    <t xml:space="preserve">D_cm</t>
  </si>
  <si>
    <t xml:space="preserve">H_m</t>
  </si>
  <si>
    <t xml:space="preserve">G_m2_ha</t>
  </si>
  <si>
    <t xml:space="preserve">N_ha</t>
  </si>
  <si>
    <t xml:space="preserve">Meas_data_Cs</t>
  </si>
  <si>
    <t xml:space="preserve">m_Cs, g</t>
  </si>
  <si>
    <t xml:space="preserve">A_Cs, Bq/kg</t>
  </si>
  <si>
    <t xml:space="preserve">ln_A_Cs</t>
  </si>
  <si>
    <t xml:space="preserve">delta_A_Cs, %</t>
  </si>
  <si>
    <t xml:space="preserve">Meas_data_Sr</t>
  </si>
  <si>
    <t xml:space="preserve">m_Sr, g</t>
  </si>
  <si>
    <t xml:space="preserve">A_Sr, Bq/kg</t>
  </si>
  <si>
    <t xml:space="preserve">ln_A_Sr</t>
  </si>
  <si>
    <t xml:space="preserve">delta_A_Sr, %</t>
  </si>
  <si>
    <t xml:space="preserve">R_m</t>
  </si>
  <si>
    <t xml:space="preserve">Polygons #</t>
  </si>
  <si>
    <t xml:space="preserve">S_m2</t>
  </si>
  <si>
    <t xml:space="preserve">WGS84 N</t>
  </si>
  <si>
    <t xml:space="preserve">WGS 84 E</t>
  </si>
  <si>
    <t xml:space="preserve">Origin</t>
  </si>
  <si>
    <t xml:space="preserve">Origin_ID</t>
  </si>
  <si>
    <t xml:space="preserve">Dominant_specias</t>
  </si>
  <si>
    <t xml:space="preserve">N_trees at site</t>
  </si>
  <si>
    <t xml:space="preserve">A_year</t>
  </si>
  <si>
    <t xml:space="preserve">D_live_cm</t>
  </si>
  <si>
    <t xml:space="preserve">H_live_m</t>
  </si>
  <si>
    <t xml:space="preserve">G_live_m2_ha</t>
  </si>
  <si>
    <t xml:space="preserve">N_live_pcs</t>
  </si>
  <si>
    <t xml:space="preserve">F_Soil</t>
  </si>
  <si>
    <t xml:space="preserve">F_Soil_ID</t>
  </si>
  <si>
    <t xml:space="preserve">M_Soil</t>
  </si>
  <si>
    <t xml:space="preserve">X_N36</t>
  </si>
  <si>
    <t xml:space="preserve">Y_N36</t>
  </si>
  <si>
    <t xml:space="preserve">Cs_2021_kBq_m</t>
  </si>
  <si>
    <t xml:space="preserve">Sr_2021_kBq_m</t>
  </si>
  <si>
    <t xml:space="preserve">T_ag_Cs</t>
  </si>
  <si>
    <t xml:space="preserve">ln_T_ag_Cs</t>
  </si>
  <si>
    <t xml:space="preserve">T_ag_Sr</t>
  </si>
  <si>
    <t xml:space="preserve">ln_T_ag_Sr</t>
  </si>
  <si>
    <t xml:space="preserve">AEDR_count</t>
  </si>
  <si>
    <t xml:space="preserve">AEDR_mean</t>
  </si>
  <si>
    <t xml:space="preserve">AEDR_median</t>
  </si>
  <si>
    <t xml:space="preserve">AEDR_std</t>
  </si>
  <si>
    <t xml:space="preserve">Distance_km</t>
  </si>
  <si>
    <t xml:space="preserve">Azimuth</t>
  </si>
  <si>
    <t xml:space="preserve">004_2021</t>
  </si>
  <si>
    <t xml:space="preserve">Pine</t>
  </si>
  <si>
    <t xml:space="preserve">51,27547</t>
  </si>
  <si>
    <t xml:space="preserve">30,07719</t>
  </si>
  <si>
    <t xml:space="preserve">n</t>
  </si>
  <si>
    <t xml:space="preserve">B</t>
  </si>
  <si>
    <t xml:space="preserve">005_2021</t>
  </si>
  <si>
    <t xml:space="preserve">51,27401</t>
  </si>
  <si>
    <t xml:space="preserve">30,07836</t>
  </si>
  <si>
    <t xml:space="preserve">014_2021</t>
  </si>
  <si>
    <t xml:space="preserve">51,34403</t>
  </si>
  <si>
    <t xml:space="preserve">30,21425</t>
  </si>
  <si>
    <t xml:space="preserve">a</t>
  </si>
  <si>
    <t xml:space="preserve">017_2021</t>
  </si>
  <si>
    <t xml:space="preserve">51,39603</t>
  </si>
  <si>
    <t xml:space="preserve">30,0309</t>
  </si>
  <si>
    <t xml:space="preserve">019_2021</t>
  </si>
  <si>
    <t xml:space="preserve">51,39647</t>
  </si>
  <si>
    <t xml:space="preserve">30,03144</t>
  </si>
  <si>
    <t xml:space="preserve">021_2021</t>
  </si>
  <si>
    <t xml:space="preserve">51,40399</t>
  </si>
  <si>
    <t xml:space="preserve">30,01684</t>
  </si>
  <si>
    <t xml:space="preserve">023_2021</t>
  </si>
  <si>
    <t xml:space="preserve">51,40691</t>
  </si>
  <si>
    <t xml:space="preserve">30,01207</t>
  </si>
  <si>
    <t xml:space="preserve">024_2021</t>
  </si>
  <si>
    <t xml:space="preserve">51,40813</t>
  </si>
  <si>
    <t xml:space="preserve">30,00938</t>
  </si>
  <si>
    <t xml:space="preserve">025_2021</t>
  </si>
  <si>
    <t xml:space="preserve">51,41268</t>
  </si>
  <si>
    <t xml:space="preserve">30,00622</t>
  </si>
  <si>
    <t xml:space="preserve">029_2021</t>
  </si>
  <si>
    <t xml:space="preserve">51,2806</t>
  </si>
  <si>
    <t xml:space="preserve">29,97493</t>
  </si>
  <si>
    <t xml:space="preserve">033_2021</t>
  </si>
  <si>
    <t xml:space="preserve">51,28059</t>
  </si>
  <si>
    <t xml:space="preserve">29,94767</t>
  </si>
  <si>
    <t xml:space="preserve">035_2021</t>
  </si>
  <si>
    <t xml:space="preserve">51,28065</t>
  </si>
  <si>
    <t xml:space="preserve">29,93807</t>
  </si>
  <si>
    <t xml:space="preserve">043_2021</t>
  </si>
  <si>
    <t xml:space="preserve">51,35542</t>
  </si>
  <si>
    <t xml:space="preserve">29,8494</t>
  </si>
  <si>
    <t xml:space="preserve">044_2021</t>
  </si>
  <si>
    <t xml:space="preserve">51,35565</t>
  </si>
  <si>
    <t xml:space="preserve">29,85119</t>
  </si>
  <si>
    <t xml:space="preserve">045_2021</t>
  </si>
  <si>
    <t xml:space="preserve">51,35777</t>
  </si>
  <si>
    <t xml:space="preserve">29,84835</t>
  </si>
  <si>
    <t xml:space="preserve">046_2021</t>
  </si>
  <si>
    <t xml:space="preserve">51,35843</t>
  </si>
  <si>
    <t xml:space="preserve">29,84928</t>
  </si>
  <si>
    <t xml:space="preserve">047_2021</t>
  </si>
  <si>
    <t xml:space="preserve">51,3595</t>
  </si>
  <si>
    <t xml:space="preserve">29,84954</t>
  </si>
  <si>
    <t xml:space="preserve">048_2021</t>
  </si>
  <si>
    <t xml:space="preserve">51,36016</t>
  </si>
  <si>
    <t xml:space="preserve">29,84952</t>
  </si>
  <si>
    <t xml:space="preserve">049_2021</t>
  </si>
  <si>
    <t xml:space="preserve">51,36747</t>
  </si>
  <si>
    <t xml:space="preserve">29,8493</t>
  </si>
  <si>
    <t xml:space="preserve">050_2021</t>
  </si>
  <si>
    <t xml:space="preserve">51,36757</t>
  </si>
  <si>
    <t xml:space="preserve">29,8482</t>
  </si>
  <si>
    <t xml:space="preserve">051_2021</t>
  </si>
  <si>
    <t xml:space="preserve">51,36895</t>
  </si>
  <si>
    <t xml:space="preserve">29,84842</t>
  </si>
  <si>
    <t xml:space="preserve">056_2021</t>
  </si>
  <si>
    <t xml:space="preserve">51,34539</t>
  </si>
  <si>
    <t xml:space="preserve">29,82893</t>
  </si>
  <si>
    <t xml:space="preserve">059_2021</t>
  </si>
  <si>
    <t xml:space="preserve">51,29705</t>
  </si>
  <si>
    <t xml:space="preserve">29,64102</t>
  </si>
  <si>
    <t xml:space="preserve">061_2021</t>
  </si>
  <si>
    <t xml:space="preserve">51,20261</t>
  </si>
  <si>
    <t xml:space="preserve">30,13941</t>
  </si>
  <si>
    <t xml:space="preserve">063_2021</t>
  </si>
  <si>
    <t xml:space="preserve">51,20228</t>
  </si>
  <si>
    <t xml:space="preserve">30,14174</t>
  </si>
  <si>
    <t xml:space="preserve">069_2021</t>
  </si>
  <si>
    <t xml:space="preserve">51,21175</t>
  </si>
  <si>
    <t xml:space="preserve">30,21381</t>
  </si>
  <si>
    <t xml:space="preserve">074_2021</t>
  </si>
  <si>
    <t xml:space="preserve">51,20834</t>
  </si>
  <si>
    <t xml:space="preserve">30,27981</t>
  </si>
  <si>
    <t xml:space="preserve">075_2021</t>
  </si>
  <si>
    <t xml:space="preserve">51,20916</t>
  </si>
  <si>
    <t xml:space="preserve">30,2784</t>
  </si>
  <si>
    <t xml:space="preserve">077_2021</t>
  </si>
  <si>
    <t xml:space="preserve">51,29527</t>
  </si>
  <si>
    <t xml:space="preserve">29,64288</t>
  </si>
  <si>
    <t xml:space="preserve">086_2021</t>
  </si>
  <si>
    <t xml:space="preserve">51,28941</t>
  </si>
  <si>
    <t xml:space="preserve">29,71687</t>
  </si>
  <si>
    <t xml:space="preserve">091_2021</t>
  </si>
  <si>
    <t xml:space="preserve">51,28966</t>
  </si>
  <si>
    <t xml:space="preserve">29,8301</t>
  </si>
  <si>
    <t xml:space="preserve">093_2021</t>
  </si>
  <si>
    <t xml:space="preserve">51,18665</t>
  </si>
  <si>
    <t xml:space="preserve">29,44067</t>
  </si>
  <si>
    <t xml:space="preserve">094_2021</t>
  </si>
  <si>
    <t xml:space="preserve">51,18705</t>
  </si>
  <si>
    <t xml:space="preserve">29,44008</t>
  </si>
  <si>
    <t xml:space="preserve">097_2021</t>
  </si>
  <si>
    <t xml:space="preserve">51,16766</t>
  </si>
  <si>
    <t xml:space="preserve">29,36314</t>
  </si>
  <si>
    <t xml:space="preserve">098_2021</t>
  </si>
  <si>
    <t xml:space="preserve">51,1682</t>
  </si>
  <si>
    <t xml:space="preserve">29,36351</t>
  </si>
  <si>
    <t xml:space="preserve">100_2021</t>
  </si>
  <si>
    <t xml:space="preserve">51,16652</t>
  </si>
  <si>
    <t xml:space="preserve">29,35935</t>
  </si>
  <si>
    <t xml:space="preserve">101_2021</t>
  </si>
  <si>
    <t xml:space="preserve">51,1658</t>
  </si>
  <si>
    <t xml:space="preserve">29,36008</t>
  </si>
  <si>
    <t xml:space="preserve">102 chz_2_3</t>
  </si>
  <si>
    <t xml:space="preserve">51.42705560</t>
  </si>
  <si>
    <t xml:space="preserve">30.11128306</t>
  </si>
  <si>
    <t xml:space="preserve">Birch</t>
  </si>
  <si>
    <t xml:space="preserve">106 kopachy_1</t>
  </si>
  <si>
    <t xml:space="preserve">51.33484657</t>
  </si>
  <si>
    <t xml:space="preserve">30.13414416</t>
  </si>
  <si>
    <t xml:space="preserve">12</t>
  </si>
  <si>
    <t xml:space="preserve">51.42525339</t>
  </si>
  <si>
    <t xml:space="preserve">30.10985566</t>
  </si>
  <si>
    <t xml:space="preserve">13</t>
  </si>
  <si>
    <t xml:space="preserve">51.42499412</t>
  </si>
  <si>
    <t xml:space="preserve">30.11109835</t>
  </si>
  <si>
    <t xml:space="preserve">17</t>
  </si>
  <si>
    <t xml:space="preserve">51.42670691</t>
  </si>
  <si>
    <t xml:space="preserve">30.11058033</t>
  </si>
  <si>
    <t xml:space="preserve">2</t>
  </si>
  <si>
    <t xml:space="preserve">51.43409263</t>
  </si>
  <si>
    <t xml:space="preserve">30.10852326</t>
  </si>
  <si>
    <t xml:space="preserve">27</t>
  </si>
  <si>
    <t xml:space="preserve">51.44768178</t>
  </si>
  <si>
    <t xml:space="preserve">30.20898521</t>
  </si>
  <si>
    <t xml:space="preserve">28</t>
  </si>
  <si>
    <t xml:space="preserve">51.44505807</t>
  </si>
  <si>
    <t xml:space="preserve">30.19618719</t>
  </si>
  <si>
    <t xml:space="preserve">3</t>
  </si>
  <si>
    <t xml:space="preserve">51.43416345</t>
  </si>
  <si>
    <t xml:space="preserve">30.10919631</t>
  </si>
  <si>
    <t xml:space="preserve">34</t>
  </si>
  <si>
    <t xml:space="preserve">51.44387305</t>
  </si>
  <si>
    <t xml:space="preserve">30.19947946</t>
  </si>
  <si>
    <t xml:space="preserve">39</t>
  </si>
  <si>
    <t xml:space="preserve">51.33316755</t>
  </si>
  <si>
    <t xml:space="preserve">30.13332546</t>
  </si>
  <si>
    <t xml:space="preserve">4</t>
  </si>
  <si>
    <t xml:space="preserve">51.43421710</t>
  </si>
  <si>
    <t xml:space="preserve">30.11048377</t>
  </si>
  <si>
    <t xml:space="preserve">41</t>
  </si>
  <si>
    <t xml:space="preserve">51.33293152</t>
  </si>
  <si>
    <t xml:space="preserve">30.13400674</t>
  </si>
  <si>
    <t xml:space="preserve">42</t>
  </si>
  <si>
    <t xml:space="preserve">51.33324265</t>
  </si>
  <si>
    <t xml:space="preserve">30.13159811</t>
  </si>
  <si>
    <t xml:space="preserve">44</t>
  </si>
  <si>
    <t xml:space="preserve">51.33453012</t>
  </si>
  <si>
    <t xml:space="preserve">30.12964547</t>
  </si>
  <si>
    <t xml:space="preserve">45</t>
  </si>
  <si>
    <t xml:space="preserve">51.33407950</t>
  </si>
  <si>
    <t xml:space="preserve">30.13098657</t>
  </si>
  <si>
    <t xml:space="preserve">46</t>
  </si>
  <si>
    <t xml:space="preserve">51.33535624</t>
  </si>
  <si>
    <t xml:space="preserve">30.13284802</t>
  </si>
  <si>
    <t xml:space="preserve">47</t>
  </si>
  <si>
    <t xml:space="preserve">51.37526267</t>
  </si>
  <si>
    <t xml:space="preserve">29.97520459</t>
  </si>
  <si>
    <t xml:space="preserve">48</t>
  </si>
  <si>
    <t xml:space="preserve">51.37470134</t>
  </si>
  <si>
    <t xml:space="preserve">29.97237288</t>
  </si>
  <si>
    <t xml:space="preserve">5</t>
  </si>
  <si>
    <t xml:space="preserve">51.43405616</t>
  </si>
  <si>
    <t xml:space="preserve">30.11198044</t>
  </si>
  <si>
    <t xml:space="preserve">54</t>
  </si>
  <si>
    <t xml:space="preserve">51.44590616</t>
  </si>
  <si>
    <t xml:space="preserve">30.19541860</t>
  </si>
  <si>
    <t xml:space="preserve">58</t>
  </si>
  <si>
    <t xml:space="preserve">51.40095001</t>
  </si>
  <si>
    <t xml:space="preserve">30.20854229</t>
  </si>
  <si>
    <t xml:space="preserve">6</t>
  </si>
  <si>
    <t xml:space="preserve">51.43437266</t>
  </si>
  <si>
    <t xml:space="preserve">30.11282802</t>
  </si>
  <si>
    <t xml:space="preserve">66</t>
  </si>
  <si>
    <t xml:space="preserve">51.43810630</t>
  </si>
  <si>
    <t xml:space="preserve">30.15558243</t>
  </si>
  <si>
    <t xml:space="preserve">67</t>
  </si>
  <si>
    <t xml:space="preserve">51.43780589</t>
  </si>
  <si>
    <t xml:space="preserve">30.15855432</t>
  </si>
  <si>
    <t xml:space="preserve">75</t>
  </si>
  <si>
    <t xml:space="preserve">51.38485372</t>
  </si>
  <si>
    <t xml:space="preserve">30.03098845</t>
  </si>
  <si>
    <t xml:space="preserve">76</t>
  </si>
  <si>
    <t xml:space="preserve">51.38576567</t>
  </si>
  <si>
    <t xml:space="preserve">30.03166437</t>
  </si>
  <si>
    <t xml:space="preserve">81</t>
  </si>
  <si>
    <t xml:space="preserve">51.38115227</t>
  </si>
  <si>
    <t xml:space="preserve">29.99810994</t>
  </si>
  <si>
    <t xml:space="preserve">88</t>
  </si>
  <si>
    <t xml:space="preserve">51.38010085</t>
  </si>
  <si>
    <t xml:space="preserve">29.99903262</t>
  </si>
  <si>
    <t xml:space="preserve">89</t>
  </si>
  <si>
    <t xml:space="preserve">51.37912452</t>
  </si>
  <si>
    <t xml:space="preserve">29.99733746</t>
  </si>
  <si>
    <t xml:space="preserve">92</t>
  </si>
  <si>
    <t xml:space="preserve">51.35412633</t>
  </si>
  <si>
    <t xml:space="preserve">29.98933911</t>
  </si>
  <si>
    <t xml:space="preserve">93</t>
  </si>
  <si>
    <t xml:space="preserve">51.35428190</t>
  </si>
  <si>
    <t xml:space="preserve">29.99014914</t>
  </si>
  <si>
    <t xml:space="preserve">94</t>
  </si>
  <si>
    <t xml:space="preserve">51.35364354</t>
  </si>
  <si>
    <t xml:space="preserve">29.98993993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</si>
</sst>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"/>
    <numFmt numFmtId="167" formatCode="dd\.mm\.yyyy"/>
    <numFmt numFmtId="168" formatCode="0.00"/>
    <numFmt numFmtId="169" formatCode="0"/>
    <numFmt numFmtId="170" formatCode="0.0000"/>
    <numFmt numFmtId="171" formatCode="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204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D0D7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1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M74" activeCellId="0" sqref="AM7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3.85"/>
    <col collapsed="false" customWidth="true" hidden="false" outlineLevel="0" max="2" min="2" style="1" width="13.85"/>
    <col collapsed="false" customWidth="true" hidden="false" outlineLevel="0" max="3" min="3" style="0" width="13.85"/>
    <col collapsed="false" customWidth="true" hidden="true" outlineLevel="0" max="6" min="4" style="0" width="13.85"/>
    <col collapsed="false" customWidth="true" hidden="true" outlineLevel="0" max="7" min="7" style="0" width="9.04"/>
    <col collapsed="false" customWidth="false" hidden="true" outlineLevel="0" max="8" min="8" style="0" width="8.54"/>
    <col collapsed="false" customWidth="true" hidden="true" outlineLevel="0" max="9" min="9" style="0" width="9.37"/>
    <col collapsed="false" customWidth="true" hidden="true" outlineLevel="0" max="10" min="10" style="0" width="7.83"/>
    <col collapsed="false" customWidth="true" hidden="true" outlineLevel="0" max="22" min="11" style="0" width="13.85"/>
    <col collapsed="false" customWidth="true" hidden="true" outlineLevel="0" max="23" min="23" style="0" width="9.14"/>
    <col collapsed="false" customWidth="true" hidden="true" outlineLevel="0" max="25" min="24" style="0" width="13.85"/>
    <col collapsed="false" customWidth="true" hidden="true" outlineLevel="0" max="26" min="26" style="0" width="8.82"/>
    <col collapsed="false" customWidth="true" hidden="true" outlineLevel="0" max="27" min="27" style="0" width="10.81"/>
    <col collapsed="false" customWidth="true" hidden="true" outlineLevel="0" max="34" min="28" style="0" width="13.85"/>
    <col collapsed="false" customWidth="true" hidden="false" outlineLevel="0" max="35" min="35" style="0" width="8.85"/>
    <col collapsed="false" customWidth="true" hidden="true" outlineLevel="0" max="36" min="36" style="0" width="11.68"/>
    <col collapsed="false" customWidth="true" hidden="false" outlineLevel="0" max="39" min="38" style="0" width="13.85"/>
    <col collapsed="false" customWidth="true" hidden="false" outlineLevel="0" max="40" min="40" style="0" width="15.76"/>
    <col collapsed="false" customWidth="true" hidden="false" outlineLevel="0" max="41" min="41" style="0" width="15.43"/>
    <col collapsed="false" customWidth="true" hidden="false" outlineLevel="0" max="44" min="42" style="0" width="11.02"/>
    <col collapsed="false" customWidth="true" hidden="false" outlineLevel="0" max="47" min="45" style="0" width="13.85"/>
    <col collapsed="false" customWidth="true" hidden="false" outlineLevel="0" max="48" min="48" style="0" width="14.99"/>
    <col collapsed="false" customWidth="true" hidden="false" outlineLevel="0" max="49" min="49" style="0" width="13.85"/>
    <col collapsed="false" customWidth="true" hidden="false" outlineLevel="0" max="50" min="50" style="0" width="15.87"/>
    <col collapsed="false" customWidth="true" hidden="false" outlineLevel="0" max="51" min="51" style="0" width="12.78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customFormat="false" ht="14.9" hidden="false" customHeight="false" outlineLevel="0" collapsed="false">
      <c r="A2" s="5" t="n">
        <v>228</v>
      </c>
      <c r="B2" s="6" t="s">
        <v>51</v>
      </c>
      <c r="C2" s="7" t="s">
        <v>52</v>
      </c>
      <c r="D2" s="7" t="n">
        <v>0</v>
      </c>
      <c r="E2" s="5" t="n">
        <v>23</v>
      </c>
      <c r="F2" s="8" t="n">
        <v>100</v>
      </c>
      <c r="G2" s="8" t="n">
        <v>14.9535512722622</v>
      </c>
      <c r="H2" s="8" t="n">
        <v>8.50602816165752</v>
      </c>
      <c r="I2" s="8" t="n">
        <v>40.4201876163171</v>
      </c>
      <c r="J2" s="5" t="n">
        <v>2300</v>
      </c>
      <c r="K2" s="9" t="n">
        <v>44410</v>
      </c>
      <c r="L2" s="10" t="n">
        <v>6.4</v>
      </c>
      <c r="M2" s="11" t="n">
        <v>42</v>
      </c>
      <c r="N2" s="12" t="n">
        <f aca="false">LN(M2)</f>
        <v>3.73766961828337</v>
      </c>
      <c r="O2" s="11" t="n">
        <v>28</v>
      </c>
      <c r="P2" s="9" t="n">
        <v>44385</v>
      </c>
      <c r="Q2" s="10" t="n">
        <v>4.8</v>
      </c>
      <c r="R2" s="11" t="n">
        <v>369</v>
      </c>
      <c r="S2" s="12" t="n">
        <f aca="false">LN(R2)</f>
        <v>5.91079664404053</v>
      </c>
      <c r="T2" s="11" t="n">
        <v>10</v>
      </c>
      <c r="U2" s="5" t="n">
        <v>5.64</v>
      </c>
      <c r="V2" s="13"/>
      <c r="W2" s="14" t="n">
        <v>99.9328056736299</v>
      </c>
      <c r="X2" s="7" t="s">
        <v>53</v>
      </c>
      <c r="Y2" s="7" t="s">
        <v>54</v>
      </c>
      <c r="Z2" s="7" t="s">
        <v>55</v>
      </c>
      <c r="AA2" s="7" t="n">
        <v>0</v>
      </c>
      <c r="AB2" s="7" t="s">
        <v>52</v>
      </c>
      <c r="AC2" s="5" t="n">
        <v>24</v>
      </c>
      <c r="AD2" s="5" t="n">
        <v>15</v>
      </c>
      <c r="AE2" s="8" t="n">
        <v>14.9535512722622</v>
      </c>
      <c r="AF2" s="8" t="n">
        <v>8.50602816165752</v>
      </c>
      <c r="AG2" s="8" t="n">
        <v>40.4201876163171</v>
      </c>
      <c r="AH2" s="5" t="n">
        <v>2300</v>
      </c>
      <c r="AI2" s="7" t="s">
        <v>56</v>
      </c>
      <c r="AJ2" s="7" t="n">
        <v>2</v>
      </c>
      <c r="AK2" s="5" t="n">
        <v>2</v>
      </c>
      <c r="AL2" s="5" t="n">
        <v>296144</v>
      </c>
      <c r="AM2" s="5" t="n">
        <v>5684517</v>
      </c>
      <c r="AN2" s="14" t="n">
        <v>340</v>
      </c>
      <c r="AO2" s="14" t="n">
        <v>150</v>
      </c>
      <c r="AP2" s="15" t="n">
        <f aca="false">M2/AN2</f>
        <v>0.123529411764706</v>
      </c>
      <c r="AQ2" s="16" t="n">
        <f aca="false">LN(AP2)</f>
        <v>-2.09127599932684</v>
      </c>
      <c r="AR2" s="8" t="n">
        <f aca="false">R2/AO2</f>
        <v>2.46</v>
      </c>
      <c r="AS2" s="15" t="n">
        <f aca="false">LN(AR2)</f>
        <v>0.900161349944271</v>
      </c>
      <c r="AT2" s="5" t="n">
        <v>20</v>
      </c>
      <c r="AU2" s="15" t="n">
        <v>0.3645</v>
      </c>
      <c r="AV2" s="15" t="n">
        <v>0.365</v>
      </c>
      <c r="AW2" s="15" t="n">
        <v>0.029576</v>
      </c>
      <c r="AX2" s="8" t="n">
        <v>12.7416270546583</v>
      </c>
      <c r="AY2" s="5" t="n">
        <v>189</v>
      </c>
    </row>
    <row r="3" customFormat="false" ht="14.9" hidden="false" customHeight="false" outlineLevel="0" collapsed="false">
      <c r="A3" s="5" t="n">
        <v>232</v>
      </c>
      <c r="B3" s="6" t="s">
        <v>57</v>
      </c>
      <c r="C3" s="7" t="s">
        <v>52</v>
      </c>
      <c r="D3" s="7" t="n">
        <v>0</v>
      </c>
      <c r="E3" s="5" t="n">
        <v>26</v>
      </c>
      <c r="F3" s="8" t="n">
        <v>100</v>
      </c>
      <c r="G3" s="8" t="n">
        <v>7.2084352297526</v>
      </c>
      <c r="H3" s="8" t="n">
        <v>3.42566857004559</v>
      </c>
      <c r="I3" s="8" t="n">
        <v>2.12068736013824</v>
      </c>
      <c r="J3" s="5" t="n">
        <v>520</v>
      </c>
      <c r="K3" s="17" t="n">
        <v>44410</v>
      </c>
      <c r="L3" s="8" t="n">
        <v>3.3</v>
      </c>
      <c r="M3" s="5" t="n">
        <v>73</v>
      </c>
      <c r="N3" s="12" t="n">
        <f aca="false">LN(M3)</f>
        <v>4.29045944114839</v>
      </c>
      <c r="O3" s="5" t="n">
        <v>25</v>
      </c>
      <c r="P3" s="17" t="n">
        <v>44385</v>
      </c>
      <c r="Q3" s="8" t="n">
        <v>2.9</v>
      </c>
      <c r="R3" s="5" t="n">
        <v>464</v>
      </c>
      <c r="S3" s="12" t="n">
        <f aca="false">LN(R3)</f>
        <v>6.13988455222626</v>
      </c>
      <c r="T3" s="5" t="n">
        <v>13</v>
      </c>
      <c r="U3" s="5" t="n">
        <v>12.62</v>
      </c>
      <c r="V3" s="13"/>
      <c r="W3" s="14" t="n">
        <v>500.343869018386</v>
      </c>
      <c r="X3" s="7" t="s">
        <v>58</v>
      </c>
      <c r="Y3" s="7" t="s">
        <v>59</v>
      </c>
      <c r="Z3" s="7" t="s">
        <v>55</v>
      </c>
      <c r="AA3" s="7" t="n">
        <v>0</v>
      </c>
      <c r="AB3" s="7" t="s">
        <v>52</v>
      </c>
      <c r="AC3" s="5" t="n">
        <v>26</v>
      </c>
      <c r="AD3" s="5" t="n">
        <v>10</v>
      </c>
      <c r="AE3" s="8" t="n">
        <v>7.2084352297526</v>
      </c>
      <c r="AF3" s="8" t="n">
        <v>3.42566857004559</v>
      </c>
      <c r="AG3" s="8" t="n">
        <v>2.12068736013824</v>
      </c>
      <c r="AH3" s="5" t="n">
        <v>520</v>
      </c>
      <c r="AI3" s="7" t="s">
        <v>56</v>
      </c>
      <c r="AJ3" s="7" t="n">
        <v>2</v>
      </c>
      <c r="AK3" s="5" t="n">
        <v>2</v>
      </c>
      <c r="AL3" s="5" t="n">
        <v>296219</v>
      </c>
      <c r="AM3" s="5" t="n">
        <v>5684352</v>
      </c>
      <c r="AN3" s="14" t="n">
        <v>330</v>
      </c>
      <c r="AO3" s="14" t="n">
        <v>69.993094902</v>
      </c>
      <c r="AP3" s="15" t="n">
        <f aca="false">M3/AN3</f>
        <v>0.221212121212121</v>
      </c>
      <c r="AQ3" s="16" t="n">
        <f aca="false">LN(AP3)</f>
        <v>-1.50863321331213</v>
      </c>
      <c r="AR3" s="8" t="n">
        <f aca="false">R3/AO3</f>
        <v>6.62922536358285</v>
      </c>
      <c r="AS3" s="15" t="n">
        <f aca="false">LN(AR3)</f>
        <v>1.8914879592997</v>
      </c>
      <c r="AT3" s="5" t="n">
        <v>18</v>
      </c>
      <c r="AU3" s="15" t="n">
        <v>0.333333</v>
      </c>
      <c r="AV3" s="15" t="n">
        <v>0.345</v>
      </c>
      <c r="AW3" s="15" t="n">
        <v>0.036515</v>
      </c>
      <c r="AX3" s="8" t="n">
        <v>12.8932125554495</v>
      </c>
      <c r="AY3" s="5" t="n">
        <v>189</v>
      </c>
    </row>
    <row r="4" customFormat="false" ht="14.9" hidden="false" customHeight="false" outlineLevel="0" collapsed="false">
      <c r="A4" s="5" t="n">
        <v>270</v>
      </c>
      <c r="B4" s="6" t="s">
        <v>60</v>
      </c>
      <c r="C4" s="7" t="s">
        <v>52</v>
      </c>
      <c r="D4" s="7" t="n">
        <v>0</v>
      </c>
      <c r="E4" s="5" t="n">
        <v>36</v>
      </c>
      <c r="F4" s="8" t="n">
        <v>100</v>
      </c>
      <c r="G4" s="8" t="n">
        <v>18.2246780187988</v>
      </c>
      <c r="H4" s="8" t="n">
        <v>20.0590949575019</v>
      </c>
      <c r="I4" s="8" t="n">
        <v>37.5692503368256</v>
      </c>
      <c r="J4" s="5" t="n">
        <v>1440</v>
      </c>
      <c r="K4" s="17" t="n">
        <v>44410</v>
      </c>
      <c r="L4" s="8" t="n">
        <v>11.3</v>
      </c>
      <c r="M4" s="5" t="n">
        <v>272</v>
      </c>
      <c r="N4" s="12" t="n">
        <f aca="false">LN(M4)</f>
        <v>5.605802066296</v>
      </c>
      <c r="O4" s="5" t="n">
        <v>16</v>
      </c>
      <c r="P4" s="17" t="n">
        <v>44385</v>
      </c>
      <c r="Q4" s="8" t="n">
        <v>5.4</v>
      </c>
      <c r="R4" s="5" t="n">
        <v>690</v>
      </c>
      <c r="S4" s="12" t="n">
        <f aca="false">LN(R4)</f>
        <v>6.53669159759131</v>
      </c>
      <c r="T4" s="5" t="n">
        <v>10</v>
      </c>
      <c r="U4" s="5" t="n">
        <v>8.92</v>
      </c>
      <c r="V4" s="13"/>
      <c r="W4" s="14" t="n">
        <v>249.965217712587</v>
      </c>
      <c r="X4" s="7" t="s">
        <v>61</v>
      </c>
      <c r="Y4" s="7" t="s">
        <v>62</v>
      </c>
      <c r="Z4" s="7" t="s">
        <v>63</v>
      </c>
      <c r="AA4" s="7" t="n">
        <v>1</v>
      </c>
      <c r="AB4" s="7" t="s">
        <v>52</v>
      </c>
      <c r="AC4" s="5" t="n">
        <v>40</v>
      </c>
      <c r="AD4" s="5" t="n">
        <v>55</v>
      </c>
      <c r="AE4" s="8" t="n">
        <v>18.2246780187988</v>
      </c>
      <c r="AF4" s="8" t="n">
        <v>20.0590949575019</v>
      </c>
      <c r="AG4" s="8" t="n">
        <v>37.5692503368256</v>
      </c>
      <c r="AH4" s="5" t="n">
        <v>1440</v>
      </c>
      <c r="AI4" s="7" t="s">
        <v>56</v>
      </c>
      <c r="AJ4" s="7" t="n">
        <v>2</v>
      </c>
      <c r="AK4" s="5" t="n">
        <v>2</v>
      </c>
      <c r="AL4" s="5" t="n">
        <v>305991</v>
      </c>
      <c r="AM4" s="5" t="n">
        <v>5691768</v>
      </c>
      <c r="AN4" s="14" t="n">
        <v>160</v>
      </c>
      <c r="AO4" s="14" t="n">
        <v>39.605927574</v>
      </c>
      <c r="AP4" s="15" t="n">
        <f aca="false">M4/AN4</f>
        <v>1.7</v>
      </c>
      <c r="AQ4" s="16" t="n">
        <f aca="false">LN(AP4)</f>
        <v>0.53062825106217</v>
      </c>
      <c r="AR4" s="14" t="n">
        <f aca="false">R4/AO4</f>
        <v>17.4216346457433</v>
      </c>
      <c r="AS4" s="15" t="n">
        <f aca="false">LN(AR4)</f>
        <v>2.85771280432061</v>
      </c>
      <c r="AT4" s="5" t="n">
        <v>11</v>
      </c>
      <c r="AU4" s="15" t="n">
        <v>0.222727</v>
      </c>
      <c r="AV4" s="15" t="n">
        <v>0.22</v>
      </c>
      <c r="AW4" s="15" t="n">
        <v>0.015428</v>
      </c>
      <c r="AX4" s="8" t="n">
        <v>9.48934613132011</v>
      </c>
      <c r="AY4" s="5" t="n">
        <v>124</v>
      </c>
    </row>
    <row r="5" customFormat="false" ht="14.9" hidden="false" customHeight="false" outlineLevel="0" collapsed="false">
      <c r="A5" s="5" t="n">
        <v>282</v>
      </c>
      <c r="B5" s="6" t="s">
        <v>64</v>
      </c>
      <c r="C5" s="7" t="s">
        <v>52</v>
      </c>
      <c r="D5" s="7" t="n">
        <v>0</v>
      </c>
      <c r="E5" s="5" t="n">
        <v>25</v>
      </c>
      <c r="F5" s="8" t="n">
        <v>100</v>
      </c>
      <c r="G5" s="8" t="n">
        <v>20.8949754725867</v>
      </c>
      <c r="H5" s="8" t="n">
        <v>14.6134572368386</v>
      </c>
      <c r="I5" s="8" t="n">
        <v>34.2952552836373</v>
      </c>
      <c r="J5" s="5" t="n">
        <v>1000</v>
      </c>
      <c r="K5" s="9" t="n">
        <v>44410</v>
      </c>
      <c r="L5" s="10" t="n">
        <v>7.1</v>
      </c>
      <c r="M5" s="11" t="n">
        <v>278</v>
      </c>
      <c r="N5" s="12" t="n">
        <f aca="false">LN(M5)</f>
        <v>5.62762111369064</v>
      </c>
      <c r="O5" s="11" t="n">
        <v>18</v>
      </c>
      <c r="P5" s="9" t="n">
        <v>44385</v>
      </c>
      <c r="Q5" s="10" t="n">
        <v>5.2</v>
      </c>
      <c r="R5" s="11" t="n">
        <v>570</v>
      </c>
      <c r="S5" s="12" t="n">
        <f aca="false">LN(R5)</f>
        <v>6.3456363608286</v>
      </c>
      <c r="T5" s="11" t="n">
        <v>10</v>
      </c>
      <c r="U5" s="5" t="n">
        <v>8.92</v>
      </c>
      <c r="V5" s="13"/>
      <c r="W5" s="14" t="n">
        <v>249.965217712587</v>
      </c>
      <c r="X5" s="7" t="s">
        <v>65</v>
      </c>
      <c r="Y5" s="7" t="s">
        <v>66</v>
      </c>
      <c r="Z5" s="7" t="s">
        <v>63</v>
      </c>
      <c r="AA5" s="7" t="n">
        <v>1</v>
      </c>
      <c r="AB5" s="7" t="s">
        <v>52</v>
      </c>
      <c r="AC5" s="5" t="n">
        <v>28</v>
      </c>
      <c r="AD5" s="5" t="n">
        <v>20</v>
      </c>
      <c r="AE5" s="8" t="n">
        <v>20.8949754725867</v>
      </c>
      <c r="AF5" s="8" t="n">
        <v>14.6134572368386</v>
      </c>
      <c r="AG5" s="8" t="n">
        <v>34.2952552836373</v>
      </c>
      <c r="AH5" s="5" t="n">
        <v>1000</v>
      </c>
      <c r="AI5" s="7" t="s">
        <v>56</v>
      </c>
      <c r="AJ5" s="7" t="n">
        <v>2</v>
      </c>
      <c r="AK5" s="5" t="n">
        <v>2</v>
      </c>
      <c r="AL5" s="5" t="n">
        <v>293458</v>
      </c>
      <c r="AM5" s="5" t="n">
        <v>5698050</v>
      </c>
      <c r="AN5" s="14" t="n">
        <v>270</v>
      </c>
      <c r="AO5" s="14" t="n">
        <v>110</v>
      </c>
      <c r="AP5" s="15" t="n">
        <f aca="false">M5/AN5</f>
        <v>1.02962962962963</v>
      </c>
      <c r="AQ5" s="16" t="n">
        <f aca="false">LN(AP5)</f>
        <v>0.0291991546922623</v>
      </c>
      <c r="AR5" s="8" t="n">
        <f aca="false">R5/AO5</f>
        <v>5.18181818181818</v>
      </c>
      <c r="AS5" s="15" t="n">
        <f aca="false">LN(AR5)</f>
        <v>1.64515599503618</v>
      </c>
      <c r="AT5" s="5" t="n">
        <v>31</v>
      </c>
      <c r="AU5" s="15" t="n">
        <v>0.525161</v>
      </c>
      <c r="AV5" s="15" t="n">
        <v>0.5</v>
      </c>
      <c r="AW5" s="15" t="n">
        <v>0.06495</v>
      </c>
      <c r="AX5" s="8" t="n">
        <v>4.77916907003718</v>
      </c>
      <c r="AY5" s="5" t="n">
        <v>281</v>
      </c>
    </row>
    <row r="6" customFormat="false" ht="14.9" hidden="false" customHeight="false" outlineLevel="0" collapsed="false">
      <c r="A6" s="5" t="n">
        <v>290</v>
      </c>
      <c r="B6" s="6" t="s">
        <v>67</v>
      </c>
      <c r="C6" s="7" t="s">
        <v>52</v>
      </c>
      <c r="D6" s="7" t="n">
        <v>0</v>
      </c>
      <c r="E6" s="5" t="n">
        <v>50</v>
      </c>
      <c r="F6" s="8" t="n">
        <v>95.5871886120996</v>
      </c>
      <c r="G6" s="8" t="n">
        <v>5.18266340793997</v>
      </c>
      <c r="H6" s="8" t="n">
        <v>5.42407415684533</v>
      </c>
      <c r="I6" s="8" t="n">
        <v>10.5549896886474</v>
      </c>
      <c r="J6" s="5" t="n">
        <v>5000</v>
      </c>
      <c r="K6" s="17" t="n">
        <v>44410</v>
      </c>
      <c r="L6" s="8" t="n">
        <v>4.1</v>
      </c>
      <c r="M6" s="5" t="n">
        <v>2630</v>
      </c>
      <c r="N6" s="12" t="n">
        <f aca="false">LN(M6)</f>
        <v>7.87473912517181</v>
      </c>
      <c r="O6" s="5" t="n">
        <v>6</v>
      </c>
      <c r="P6" s="17" t="n">
        <v>44385</v>
      </c>
      <c r="Q6" s="8" t="n">
        <v>4</v>
      </c>
      <c r="R6" s="5" t="n">
        <v>4000</v>
      </c>
      <c r="S6" s="12" t="n">
        <f aca="false">LN(R6)</f>
        <v>8.29404964010203</v>
      </c>
      <c r="T6" s="5" t="n">
        <v>8</v>
      </c>
      <c r="U6" s="5" t="n">
        <v>5.64</v>
      </c>
      <c r="V6" s="13"/>
      <c r="W6" s="14" t="n">
        <v>99.9328056736299</v>
      </c>
      <c r="X6" s="7" t="s">
        <v>68</v>
      </c>
      <c r="Y6" s="7" t="s">
        <v>69</v>
      </c>
      <c r="Z6" s="7" t="s">
        <v>55</v>
      </c>
      <c r="AA6" s="7" t="n">
        <v>0</v>
      </c>
      <c r="AB6" s="7" t="s">
        <v>52</v>
      </c>
      <c r="AC6" s="5" t="n">
        <v>53</v>
      </c>
      <c r="AD6" s="5" t="n">
        <v>20</v>
      </c>
      <c r="AE6" s="8" t="n">
        <v>5.1487312963743</v>
      </c>
      <c r="AF6" s="8" t="n">
        <v>5.42407414138582</v>
      </c>
      <c r="AG6" s="8" t="n">
        <v>11.0422639706252</v>
      </c>
      <c r="AH6" s="5" t="n">
        <v>5300</v>
      </c>
      <c r="AI6" s="7" t="s">
        <v>56</v>
      </c>
      <c r="AJ6" s="7" t="n">
        <v>2</v>
      </c>
      <c r="AK6" s="5" t="n">
        <v>2</v>
      </c>
      <c r="AL6" s="5" t="n">
        <v>293498</v>
      </c>
      <c r="AM6" s="5" t="n">
        <v>5698098</v>
      </c>
      <c r="AN6" s="14" t="n">
        <v>720</v>
      </c>
      <c r="AO6" s="14" t="n">
        <v>370</v>
      </c>
      <c r="AP6" s="15" t="n">
        <f aca="false">M6/AN6</f>
        <v>3.65277777777778</v>
      </c>
      <c r="AQ6" s="16" t="n">
        <f aca="false">LN(AP6)</f>
        <v>1.29548791316171</v>
      </c>
      <c r="AR6" s="14" t="n">
        <f aca="false">R6/AO6</f>
        <v>10.8108108108108</v>
      </c>
      <c r="AS6" s="15" t="n">
        <f aca="false">LN(AR6)</f>
        <v>2.38054663446376</v>
      </c>
      <c r="AT6" s="5" t="n">
        <v>25</v>
      </c>
      <c r="AU6" s="15" t="n">
        <v>0.99</v>
      </c>
      <c r="AV6" s="15" t="n">
        <v>1</v>
      </c>
      <c r="AW6" s="15" t="n">
        <v>0.059262</v>
      </c>
      <c r="AX6" s="8" t="n">
        <v>4.74981525956537</v>
      </c>
      <c r="AY6" s="5" t="n">
        <v>282</v>
      </c>
    </row>
    <row r="7" customFormat="false" ht="14.9" hidden="false" customHeight="false" outlineLevel="0" collapsed="false">
      <c r="A7" s="5" t="n">
        <v>300</v>
      </c>
      <c r="B7" s="6" t="s">
        <v>70</v>
      </c>
      <c r="C7" s="7" t="s">
        <v>52</v>
      </c>
      <c r="D7" s="7" t="n">
        <v>0</v>
      </c>
      <c r="E7" s="5" t="n">
        <v>104</v>
      </c>
      <c r="F7" s="8" t="n">
        <v>96.4492753623189</v>
      </c>
      <c r="G7" s="8" t="n">
        <v>5.0592641605429</v>
      </c>
      <c r="H7" s="8" t="n">
        <v>8.74038595793546</v>
      </c>
      <c r="I7" s="8" t="n">
        <v>42.01282795889</v>
      </c>
      <c r="J7" s="5" t="n">
        <v>20900</v>
      </c>
      <c r="K7" s="9" t="n">
        <v>44410</v>
      </c>
      <c r="L7" s="10" t="n">
        <v>5</v>
      </c>
      <c r="M7" s="11" t="n">
        <v>3500</v>
      </c>
      <c r="N7" s="12" t="n">
        <f aca="false">LN(M7)</f>
        <v>8.16051824747751</v>
      </c>
      <c r="O7" s="11" t="n">
        <v>10</v>
      </c>
      <c r="P7" s="9" t="n">
        <v>44385</v>
      </c>
      <c r="Q7" s="10" t="n">
        <v>5.1</v>
      </c>
      <c r="R7" s="11" t="n">
        <v>7320</v>
      </c>
      <c r="S7" s="12" t="n">
        <f aca="false">LN(R7)</f>
        <v>8.89836560695536</v>
      </c>
      <c r="T7" s="11" t="n">
        <v>8</v>
      </c>
      <c r="U7" s="5" t="n">
        <v>3.98</v>
      </c>
      <c r="V7" s="13"/>
      <c r="W7" s="14" t="n">
        <v>49.7640842699238</v>
      </c>
      <c r="X7" s="7" t="s">
        <v>71</v>
      </c>
      <c r="Y7" s="7" t="s">
        <v>72</v>
      </c>
      <c r="Z7" s="7" t="s">
        <v>55</v>
      </c>
      <c r="AA7" s="7" t="n">
        <v>0</v>
      </c>
      <c r="AB7" s="7" t="s">
        <v>52</v>
      </c>
      <c r="AC7" s="5" t="n">
        <v>109</v>
      </c>
      <c r="AD7" s="5" t="n">
        <v>20</v>
      </c>
      <c r="AE7" s="8" t="n">
        <v>5.10271847636695</v>
      </c>
      <c r="AF7" s="8" t="n">
        <v>8.75452575084121</v>
      </c>
      <c r="AG7" s="8" t="n">
        <v>43.559506073079</v>
      </c>
      <c r="AH7" s="5" t="n">
        <v>21300</v>
      </c>
      <c r="AI7" s="7" t="s">
        <v>56</v>
      </c>
      <c r="AJ7" s="7" t="n">
        <v>2</v>
      </c>
      <c r="AK7" s="5" t="n">
        <v>2</v>
      </c>
      <c r="AL7" s="5" t="n">
        <v>292516</v>
      </c>
      <c r="AM7" s="5" t="n">
        <v>5698975</v>
      </c>
      <c r="AN7" s="14" t="n">
        <v>1100</v>
      </c>
      <c r="AO7" s="14" t="n">
        <v>380</v>
      </c>
      <c r="AP7" s="15" t="n">
        <f aca="false">M7/AN7</f>
        <v>3.18181818181818</v>
      </c>
      <c r="AQ7" s="16" t="n">
        <f aca="false">LN(AP7)</f>
        <v>1.15745278869104</v>
      </c>
      <c r="AR7" s="14" t="n">
        <f aca="false">R7/AO7</f>
        <v>19.2631578947368</v>
      </c>
      <c r="AS7" s="15" t="n">
        <f aca="false">LN(AR7)</f>
        <v>2.95819435423493</v>
      </c>
      <c r="AT7" s="5" t="n">
        <v>25</v>
      </c>
      <c r="AU7" s="15" t="n">
        <v>1.2124</v>
      </c>
      <c r="AV7" s="15" t="n">
        <v>1.2</v>
      </c>
      <c r="AW7" s="15" t="n">
        <v>0.086869</v>
      </c>
      <c r="AX7" s="8" t="n">
        <v>5.9299032032572</v>
      </c>
      <c r="AY7" s="5" t="n">
        <v>288</v>
      </c>
    </row>
    <row r="8" customFormat="false" ht="14.9" hidden="false" customHeight="false" outlineLevel="0" collapsed="false">
      <c r="A8" s="5" t="n">
        <v>309</v>
      </c>
      <c r="B8" s="6" t="s">
        <v>73</v>
      </c>
      <c r="C8" s="7" t="s">
        <v>52</v>
      </c>
      <c r="D8" s="7" t="n">
        <v>0</v>
      </c>
      <c r="E8" s="5" t="n">
        <v>22</v>
      </c>
      <c r="F8" s="8" t="n">
        <v>100</v>
      </c>
      <c r="G8" s="8" t="n">
        <v>14.0986782101276</v>
      </c>
      <c r="H8" s="8" t="n">
        <v>8.74792660178985</v>
      </c>
      <c r="I8" s="8" t="n">
        <v>34.3685554046577</v>
      </c>
      <c r="J8" s="5" t="n">
        <v>2200</v>
      </c>
      <c r="K8" s="9" t="n">
        <v>44410</v>
      </c>
      <c r="L8" s="10" t="n">
        <v>6.9</v>
      </c>
      <c r="M8" s="11" t="n">
        <v>329</v>
      </c>
      <c r="N8" s="12" t="n">
        <f aca="false">LN(M8)</f>
        <v>5.79605775076537</v>
      </c>
      <c r="O8" s="11" t="n">
        <v>7</v>
      </c>
      <c r="P8" s="9" t="n">
        <v>44385</v>
      </c>
      <c r="Q8" s="10" t="n">
        <v>6.9</v>
      </c>
      <c r="R8" s="11" t="n">
        <v>1580</v>
      </c>
      <c r="S8" s="12" t="n">
        <f aca="false">LN(R8)</f>
        <v>7.36518012602101</v>
      </c>
      <c r="T8" s="11" t="n">
        <v>8</v>
      </c>
      <c r="U8" s="5" t="n">
        <v>5.64</v>
      </c>
      <c r="V8" s="13"/>
      <c r="W8" s="14" t="n">
        <v>99.9328056736299</v>
      </c>
      <c r="X8" s="7" t="s">
        <v>74</v>
      </c>
      <c r="Y8" s="7" t="s">
        <v>75</v>
      </c>
      <c r="Z8" s="7" t="s">
        <v>55</v>
      </c>
      <c r="AA8" s="7" t="n">
        <v>0</v>
      </c>
      <c r="AB8" s="7" t="s">
        <v>52</v>
      </c>
      <c r="AC8" s="5" t="n">
        <v>26</v>
      </c>
      <c r="AD8" s="5" t="n">
        <v>25</v>
      </c>
      <c r="AE8" s="8" t="n">
        <v>14.0986782101276</v>
      </c>
      <c r="AF8" s="8" t="n">
        <v>8.74792660178985</v>
      </c>
      <c r="AG8" s="8" t="n">
        <v>34.3685554046577</v>
      </c>
      <c r="AH8" s="5" t="n">
        <v>2200</v>
      </c>
      <c r="AI8" s="7" t="s">
        <v>56</v>
      </c>
      <c r="AJ8" s="7" t="n">
        <v>2</v>
      </c>
      <c r="AK8" s="5" t="n">
        <v>2</v>
      </c>
      <c r="AL8" s="5" t="n">
        <v>292198</v>
      </c>
      <c r="AM8" s="5" t="n">
        <v>5699313</v>
      </c>
      <c r="AN8" s="14" t="n">
        <v>790</v>
      </c>
      <c r="AO8" s="14" t="n">
        <v>300</v>
      </c>
      <c r="AP8" s="15" t="n">
        <f aca="false">M8/AN8</f>
        <v>0.416455696202532</v>
      </c>
      <c r="AQ8" s="16" t="n">
        <f aca="false">LN(AP8)</f>
        <v>-0.875975194695695</v>
      </c>
      <c r="AR8" s="8" t="n">
        <f aca="false">R8/AO8</f>
        <v>5.26666666666667</v>
      </c>
      <c r="AS8" s="15" t="n">
        <f aca="false">LN(AR8)</f>
        <v>1.66139765136481</v>
      </c>
      <c r="AT8" s="5" t="n">
        <v>23</v>
      </c>
      <c r="AU8" s="15" t="n">
        <v>0.762174</v>
      </c>
      <c r="AV8" s="15" t="n">
        <v>0.76</v>
      </c>
      <c r="AW8" s="15" t="n">
        <v>0.037061</v>
      </c>
      <c r="AX8" s="8" t="n">
        <v>6.34224565907061</v>
      </c>
      <c r="AY8" s="5" t="n">
        <v>290</v>
      </c>
    </row>
    <row r="9" customFormat="false" ht="14.9" hidden="false" customHeight="false" outlineLevel="0" collapsed="false">
      <c r="A9" s="5" t="n">
        <v>313</v>
      </c>
      <c r="B9" s="6" t="s">
        <v>76</v>
      </c>
      <c r="C9" s="7" t="s">
        <v>52</v>
      </c>
      <c r="D9" s="7" t="n">
        <v>0</v>
      </c>
      <c r="E9" s="5" t="n">
        <v>21</v>
      </c>
      <c r="F9" s="8" t="n">
        <v>100</v>
      </c>
      <c r="G9" s="8" t="n">
        <v>10.4403065089105</v>
      </c>
      <c r="H9" s="8" t="n">
        <v>5.57643573078956</v>
      </c>
      <c r="I9" s="8" t="n">
        <v>7.19210621568903</v>
      </c>
      <c r="J9" s="5" t="n">
        <v>840</v>
      </c>
      <c r="K9" s="9" t="n">
        <v>44410</v>
      </c>
      <c r="L9" s="10" t="n">
        <v>4.3</v>
      </c>
      <c r="M9" s="11" t="n">
        <v>60</v>
      </c>
      <c r="N9" s="12" t="n">
        <f aca="false">LN(M9)</f>
        <v>4.0943445622221</v>
      </c>
      <c r="O9" s="11" t="n">
        <v>23</v>
      </c>
      <c r="P9" s="9" t="n">
        <v>44385</v>
      </c>
      <c r="Q9" s="10" t="n">
        <v>4.2</v>
      </c>
      <c r="R9" s="11" t="n">
        <v>1030</v>
      </c>
      <c r="S9" s="12" t="n">
        <f aca="false">LN(R9)</f>
        <v>6.93731408122368</v>
      </c>
      <c r="T9" s="11" t="n">
        <v>10</v>
      </c>
      <c r="U9" s="5" t="n">
        <v>8.92</v>
      </c>
      <c r="V9" s="13"/>
      <c r="W9" s="14" t="n">
        <v>249.965217712587</v>
      </c>
      <c r="X9" s="7" t="s">
        <v>77</v>
      </c>
      <c r="Y9" s="7" t="s">
        <v>78</v>
      </c>
      <c r="Z9" s="7" t="s">
        <v>55</v>
      </c>
      <c r="AA9" s="7" t="n">
        <v>0</v>
      </c>
      <c r="AB9" s="7" t="s">
        <v>52</v>
      </c>
      <c r="AC9" s="5" t="n">
        <v>21</v>
      </c>
      <c r="AD9" s="5" t="n">
        <v>20</v>
      </c>
      <c r="AE9" s="8" t="n">
        <v>10.4403065089105</v>
      </c>
      <c r="AF9" s="8" t="n">
        <v>5.57643573078956</v>
      </c>
      <c r="AG9" s="8" t="n">
        <v>7.19210621568903</v>
      </c>
      <c r="AH9" s="5" t="n">
        <v>840</v>
      </c>
      <c r="AI9" s="7" t="s">
        <v>56</v>
      </c>
      <c r="AJ9" s="7" t="n">
        <v>2</v>
      </c>
      <c r="AK9" s="5" t="n">
        <v>2</v>
      </c>
      <c r="AL9" s="5" t="n">
        <v>292017</v>
      </c>
      <c r="AM9" s="5" t="n">
        <v>5699457</v>
      </c>
      <c r="AN9" s="14" t="n">
        <v>1100</v>
      </c>
      <c r="AO9" s="14" t="n">
        <v>250</v>
      </c>
      <c r="AP9" s="18" t="n">
        <f aca="false">M9/AN9</f>
        <v>0.0545454545454545</v>
      </c>
      <c r="AQ9" s="16" t="n">
        <f aca="false">LN(AP9)</f>
        <v>-2.90872089656436</v>
      </c>
      <c r="AR9" s="8" t="n">
        <f aca="false">R9/AO9</f>
        <v>4.12</v>
      </c>
      <c r="AS9" s="15" t="n">
        <f aca="false">LN(AR9)</f>
        <v>1.41585316336144</v>
      </c>
      <c r="AT9" s="5" t="n">
        <v>12</v>
      </c>
      <c r="AU9" s="15" t="n">
        <v>0.649167</v>
      </c>
      <c r="AV9" s="15" t="n">
        <v>0.645</v>
      </c>
      <c r="AW9" s="15" t="n">
        <v>0.039467</v>
      </c>
      <c r="AX9" s="8" t="n">
        <v>6.56249655238005</v>
      </c>
      <c r="AY9" s="5" t="n">
        <v>291</v>
      </c>
    </row>
    <row r="10" customFormat="false" ht="14.9" hidden="false" customHeight="false" outlineLevel="0" collapsed="false">
      <c r="A10" s="5" t="n">
        <v>316</v>
      </c>
      <c r="B10" s="6" t="s">
        <v>79</v>
      </c>
      <c r="C10" s="7" t="s">
        <v>52</v>
      </c>
      <c r="D10" s="7" t="n">
        <v>0</v>
      </c>
      <c r="E10" s="5" t="n">
        <v>30</v>
      </c>
      <c r="F10" s="8" t="n">
        <v>100</v>
      </c>
      <c r="G10" s="8" t="n">
        <v>34.6914975174033</v>
      </c>
      <c r="H10" s="8" t="n">
        <v>27.2955421373208</v>
      </c>
      <c r="I10" s="8" t="n">
        <v>56.6746240842272</v>
      </c>
      <c r="J10" s="5" t="n">
        <v>600</v>
      </c>
      <c r="K10" s="9" t="n">
        <v>44410</v>
      </c>
      <c r="L10" s="10" t="n">
        <v>12.7</v>
      </c>
      <c r="M10" s="11" t="n">
        <v>287</v>
      </c>
      <c r="N10" s="12" t="n">
        <f aca="false">LN(M10)</f>
        <v>5.65948221575962</v>
      </c>
      <c r="O10" s="11" t="n">
        <v>17</v>
      </c>
      <c r="P10" s="9" t="n">
        <v>44385</v>
      </c>
      <c r="Q10" s="10" t="n">
        <v>7.6</v>
      </c>
      <c r="R10" s="11" t="n">
        <v>1990</v>
      </c>
      <c r="S10" s="12" t="n">
        <f aca="false">LN(R10)</f>
        <v>7.59588991771854</v>
      </c>
      <c r="T10" s="11" t="n">
        <v>8</v>
      </c>
      <c r="U10" s="5" t="n">
        <v>12.62</v>
      </c>
      <c r="V10" s="13"/>
      <c r="W10" s="14" t="n">
        <v>500.343869018386</v>
      </c>
      <c r="X10" s="7" t="s">
        <v>80</v>
      </c>
      <c r="Y10" s="7" t="s">
        <v>81</v>
      </c>
      <c r="Z10" s="7" t="s">
        <v>55</v>
      </c>
      <c r="AA10" s="7" t="n">
        <v>0</v>
      </c>
      <c r="AB10" s="7" t="s">
        <v>52</v>
      </c>
      <c r="AC10" s="5" t="n">
        <v>32</v>
      </c>
      <c r="AD10" s="5" t="n">
        <v>90</v>
      </c>
      <c r="AE10" s="8" t="n">
        <v>34.6914975174033</v>
      </c>
      <c r="AF10" s="8" t="n">
        <v>27.2955421373208</v>
      </c>
      <c r="AG10" s="8" t="n">
        <v>56.6746240842272</v>
      </c>
      <c r="AH10" s="5" t="n">
        <v>600</v>
      </c>
      <c r="AI10" s="7" t="s">
        <v>56</v>
      </c>
      <c r="AJ10" s="7" t="n">
        <v>2</v>
      </c>
      <c r="AK10" s="5" t="n">
        <v>2</v>
      </c>
      <c r="AL10" s="5" t="n">
        <v>291817</v>
      </c>
      <c r="AM10" s="5" t="n">
        <v>5699972</v>
      </c>
      <c r="AN10" s="14" t="n">
        <v>540</v>
      </c>
      <c r="AO10" s="14" t="n">
        <v>180.08717113</v>
      </c>
      <c r="AP10" s="15" t="n">
        <f aca="false">M10/AN10</f>
        <v>0.531481481481481</v>
      </c>
      <c r="AQ10" s="16" t="n">
        <f aca="false">LN(AP10)</f>
        <v>-0.632086923798699</v>
      </c>
      <c r="AR10" s="14" t="n">
        <f aca="false">R10/AO10</f>
        <v>11.0502041178906</v>
      </c>
      <c r="AS10" s="15" t="n">
        <f aca="false">LN(AR10)</f>
        <v>2.40244890000045</v>
      </c>
      <c r="AT10" s="5" t="n">
        <v>24</v>
      </c>
      <c r="AU10" s="15" t="n">
        <v>0.713333</v>
      </c>
      <c r="AV10" s="15" t="n">
        <v>0.71</v>
      </c>
      <c r="AW10" s="15" t="n">
        <v>0.01748</v>
      </c>
      <c r="AX10" s="8" t="n">
        <v>6.9460971775523</v>
      </c>
      <c r="AY10" s="5" t="n">
        <v>294</v>
      </c>
    </row>
    <row r="11" customFormat="false" ht="14.9" hidden="false" customHeight="false" outlineLevel="0" collapsed="false">
      <c r="A11" s="5" t="n">
        <v>336</v>
      </c>
      <c r="B11" s="6" t="s">
        <v>82</v>
      </c>
      <c r="C11" s="7" t="s">
        <v>52</v>
      </c>
      <c r="D11" s="7" t="n">
        <v>0</v>
      </c>
      <c r="E11" s="5" t="n">
        <v>27</v>
      </c>
      <c r="F11" s="8" t="n">
        <v>100</v>
      </c>
      <c r="G11" s="8" t="n">
        <v>29.743346594939</v>
      </c>
      <c r="H11" s="8" t="n">
        <v>18.9383274343946</v>
      </c>
      <c r="I11" s="8" t="n">
        <v>37.4942548366113</v>
      </c>
      <c r="J11" s="5" t="n">
        <v>540</v>
      </c>
      <c r="K11" s="9" t="n">
        <v>44410</v>
      </c>
      <c r="L11" s="10" t="n">
        <v>10</v>
      </c>
      <c r="M11" s="11" t="n">
        <v>25</v>
      </c>
      <c r="N11" s="12" t="n">
        <f aca="false">LN(M11)</f>
        <v>3.2188758248682</v>
      </c>
      <c r="O11" s="11" t="n">
        <v>60</v>
      </c>
      <c r="P11" s="9" t="n">
        <v>44385</v>
      </c>
      <c r="Q11" s="10" t="n">
        <v>7.1</v>
      </c>
      <c r="R11" s="11" t="n">
        <v>198</v>
      </c>
      <c r="S11" s="12" t="n">
        <f aca="false">LN(R11)</f>
        <v>5.28826703069454</v>
      </c>
      <c r="T11" s="11" t="n">
        <v>13</v>
      </c>
      <c r="U11" s="5" t="n">
        <v>12.62</v>
      </c>
      <c r="V11" s="13"/>
      <c r="W11" s="14" t="n">
        <v>500.343869018386</v>
      </c>
      <c r="X11" s="7" t="s">
        <v>83</v>
      </c>
      <c r="Y11" s="7" t="s">
        <v>84</v>
      </c>
      <c r="Z11" s="7" t="s">
        <v>63</v>
      </c>
      <c r="AA11" s="7" t="n">
        <v>1</v>
      </c>
      <c r="AB11" s="7" t="s">
        <v>52</v>
      </c>
      <c r="AC11" s="5" t="n">
        <v>29</v>
      </c>
      <c r="AD11" s="5" t="n">
        <v>40</v>
      </c>
      <c r="AE11" s="8" t="n">
        <v>29.743346594939</v>
      </c>
      <c r="AF11" s="8" t="n">
        <v>18.9383274343946</v>
      </c>
      <c r="AG11" s="8" t="n">
        <v>37.4942548366113</v>
      </c>
      <c r="AH11" s="5" t="n">
        <v>540</v>
      </c>
      <c r="AI11" s="7" t="s">
        <v>56</v>
      </c>
      <c r="AJ11" s="7" t="n">
        <v>2</v>
      </c>
      <c r="AK11" s="5" t="n">
        <v>2</v>
      </c>
      <c r="AL11" s="5" t="n">
        <v>289036</v>
      </c>
      <c r="AM11" s="5" t="n">
        <v>5685376</v>
      </c>
      <c r="AN11" s="14" t="n">
        <v>40</v>
      </c>
      <c r="AO11" s="14" t="n">
        <v>13.117279526</v>
      </c>
      <c r="AP11" s="15" t="n">
        <f aca="false">M11/AN11</f>
        <v>0.625</v>
      </c>
      <c r="AQ11" s="16" t="n">
        <f aca="false">LN(AP11)</f>
        <v>-0.470003629245736</v>
      </c>
      <c r="AR11" s="14" t="n">
        <f aca="false">R11/AO11</f>
        <v>15.0945933268816</v>
      </c>
      <c r="AS11" s="15" t="n">
        <f aca="false">LN(AR11)</f>
        <v>2.71433662188046</v>
      </c>
      <c r="AT11" s="5" t="n">
        <v>15</v>
      </c>
      <c r="AU11" s="15" t="n">
        <v>0.153333</v>
      </c>
      <c r="AV11" s="15" t="n">
        <v>0.16</v>
      </c>
      <c r="AW11" s="15" t="n">
        <v>0.013984</v>
      </c>
      <c r="AX11" s="8" t="n">
        <v>14.8457017685255</v>
      </c>
      <c r="AY11" s="5" t="n">
        <v>218</v>
      </c>
    </row>
    <row r="12" customFormat="false" ht="14.9" hidden="false" customHeight="false" outlineLevel="0" collapsed="false">
      <c r="A12" s="5" t="n">
        <v>355</v>
      </c>
      <c r="B12" s="6" t="s">
        <v>85</v>
      </c>
      <c r="C12" s="7" t="s">
        <v>52</v>
      </c>
      <c r="D12" s="7" t="n">
        <v>0</v>
      </c>
      <c r="E12" s="5" t="n">
        <v>21</v>
      </c>
      <c r="F12" s="8" t="n">
        <v>100</v>
      </c>
      <c r="G12" s="8" t="n">
        <v>17.4000547344514</v>
      </c>
      <c r="H12" s="8" t="n">
        <v>15.150977569866</v>
      </c>
      <c r="I12" s="8" t="n">
        <v>49.9691916905588</v>
      </c>
      <c r="J12" s="5" t="n">
        <v>2100</v>
      </c>
      <c r="K12" s="17" t="n">
        <v>44410</v>
      </c>
      <c r="L12" s="8" t="n">
        <v>6</v>
      </c>
      <c r="M12" s="5" t="n">
        <v>15</v>
      </c>
      <c r="N12" s="12" t="n">
        <f aca="false">LN(M12)</f>
        <v>2.70805020110221</v>
      </c>
      <c r="O12" s="5" t="n">
        <v>32</v>
      </c>
      <c r="P12" s="17" t="n">
        <v>44385</v>
      </c>
      <c r="Q12" s="8" t="n">
        <v>6.1</v>
      </c>
      <c r="R12" s="5" t="n">
        <v>59</v>
      </c>
      <c r="S12" s="12" t="n">
        <f aca="false">LN(R12)</f>
        <v>4.07753744390572</v>
      </c>
      <c r="T12" s="5" t="n">
        <v>26</v>
      </c>
      <c r="U12" s="5" t="n">
        <v>5.64</v>
      </c>
      <c r="V12" s="13"/>
      <c r="W12" s="14" t="n">
        <v>99.9328056736299</v>
      </c>
      <c r="X12" s="7" t="s">
        <v>86</v>
      </c>
      <c r="Y12" s="7" t="s">
        <v>87</v>
      </c>
      <c r="Z12" s="7" t="s">
        <v>63</v>
      </c>
      <c r="AA12" s="7" t="n">
        <v>1</v>
      </c>
      <c r="AB12" s="7" t="s">
        <v>52</v>
      </c>
      <c r="AC12" s="5" t="n">
        <v>25</v>
      </c>
      <c r="AD12" s="5" t="n">
        <v>28</v>
      </c>
      <c r="AE12" s="8" t="n">
        <v>17.4000547344514</v>
      </c>
      <c r="AF12" s="8" t="n">
        <v>15.150977569866</v>
      </c>
      <c r="AG12" s="8" t="n">
        <v>49.9691916905588</v>
      </c>
      <c r="AH12" s="5" t="n">
        <v>2100</v>
      </c>
      <c r="AI12" s="7" t="s">
        <v>56</v>
      </c>
      <c r="AJ12" s="7" t="n">
        <v>2</v>
      </c>
      <c r="AK12" s="5" t="n">
        <v>2</v>
      </c>
      <c r="AL12" s="5" t="n">
        <v>287136</v>
      </c>
      <c r="AM12" s="5" t="n">
        <v>5685454</v>
      </c>
      <c r="AN12" s="14" t="n">
        <v>47</v>
      </c>
      <c r="AO12" s="14" t="n">
        <v>11</v>
      </c>
      <c r="AP12" s="15" t="n">
        <f aca="false">M12/AN12</f>
        <v>0.319148936170213</v>
      </c>
      <c r="AQ12" s="16" t="n">
        <f aca="false">LN(AP12)</f>
        <v>-1.14209740060785</v>
      </c>
      <c r="AR12" s="8" t="n">
        <f aca="false">R12/AO12</f>
        <v>5.36363636363636</v>
      </c>
      <c r="AS12" s="15" t="n">
        <f aca="false">LN(AR12)</f>
        <v>1.67964217110735</v>
      </c>
      <c r="AT12" s="5" t="n">
        <v>28</v>
      </c>
      <c r="AU12" s="15" t="n">
        <v>0.121071</v>
      </c>
      <c r="AV12" s="15" t="n">
        <v>0.12</v>
      </c>
      <c r="AW12" s="15" t="n">
        <v>0.005567</v>
      </c>
      <c r="AX12" s="8" t="n">
        <v>16.0245013962994</v>
      </c>
      <c r="AY12" s="5" t="n">
        <v>223</v>
      </c>
    </row>
    <row r="13" customFormat="false" ht="14.9" hidden="false" customHeight="false" outlineLevel="0" collapsed="false">
      <c r="A13" s="5" t="n">
        <v>363</v>
      </c>
      <c r="B13" s="6" t="s">
        <v>88</v>
      </c>
      <c r="C13" s="7" t="s">
        <v>52</v>
      </c>
      <c r="D13" s="7" t="n">
        <v>0</v>
      </c>
      <c r="E13" s="5" t="n">
        <v>45</v>
      </c>
      <c r="F13" s="8" t="n">
        <v>100</v>
      </c>
      <c r="G13" s="8" t="n">
        <v>16.8707504937457</v>
      </c>
      <c r="H13" s="8" t="n">
        <v>13.3412938735498</v>
      </c>
      <c r="I13" s="8" t="n">
        <v>40.2431176979227</v>
      </c>
      <c r="J13" s="5" t="n">
        <v>1800</v>
      </c>
      <c r="K13" s="9" t="n">
        <v>44410</v>
      </c>
      <c r="L13" s="10" t="n">
        <v>6.8</v>
      </c>
      <c r="M13" s="11" t="n">
        <v>4.6</v>
      </c>
      <c r="N13" s="12" t="n">
        <f aca="false">LN(M13)</f>
        <v>1.52605630349505</v>
      </c>
      <c r="P13" s="9" t="n">
        <v>44385</v>
      </c>
      <c r="Q13" s="10" t="n">
        <v>6.9</v>
      </c>
      <c r="R13" s="11" t="n">
        <v>82</v>
      </c>
      <c r="S13" s="12" t="n">
        <f aca="false">LN(R13)</f>
        <v>4.40671924726425</v>
      </c>
      <c r="T13" s="11" t="n">
        <v>20</v>
      </c>
      <c r="U13" s="5" t="n">
        <v>8.92</v>
      </c>
      <c r="V13" s="13"/>
      <c r="W13" s="14" t="n">
        <v>249.965217712587</v>
      </c>
      <c r="X13" s="7" t="s">
        <v>89</v>
      </c>
      <c r="Y13" s="7" t="s">
        <v>90</v>
      </c>
      <c r="Z13" s="7" t="s">
        <v>63</v>
      </c>
      <c r="AA13" s="7" t="n">
        <v>1</v>
      </c>
      <c r="AB13" s="7" t="s">
        <v>52</v>
      </c>
      <c r="AC13" s="5" t="n">
        <v>46</v>
      </c>
      <c r="AD13" s="5" t="n">
        <v>26</v>
      </c>
      <c r="AE13" s="8" t="n">
        <v>16.8707504937457</v>
      </c>
      <c r="AF13" s="8" t="n">
        <v>13.3412938735498</v>
      </c>
      <c r="AG13" s="8" t="n">
        <v>40.2431176979227</v>
      </c>
      <c r="AH13" s="5" t="n">
        <v>1800</v>
      </c>
      <c r="AI13" s="7" t="s">
        <v>56</v>
      </c>
      <c r="AJ13" s="7" t="n">
        <v>2</v>
      </c>
      <c r="AK13" s="5" t="n">
        <v>2</v>
      </c>
      <c r="AL13" s="5" t="n">
        <v>286466</v>
      </c>
      <c r="AM13" s="5" t="n">
        <v>5685489</v>
      </c>
      <c r="AN13" s="14" t="n">
        <v>36</v>
      </c>
      <c r="AO13" s="14" t="n">
        <v>9</v>
      </c>
      <c r="AP13" s="15" t="n">
        <f aca="false">M13/AN13</f>
        <v>0.127777777777778</v>
      </c>
      <c r="AQ13" s="16" t="n">
        <f aca="false">LN(AP13)</f>
        <v>-2.05746263496106</v>
      </c>
      <c r="AR13" s="8" t="n">
        <f aca="false">R13/AO13</f>
        <v>9.11111111111111</v>
      </c>
      <c r="AS13" s="15" t="n">
        <f aca="false">LN(AR13)</f>
        <v>2.20949466992803</v>
      </c>
      <c r="AT13" s="5" t="n">
        <v>21</v>
      </c>
      <c r="AU13" s="15" t="n">
        <v>0.141429</v>
      </c>
      <c r="AV13" s="15" t="n">
        <v>0.14</v>
      </c>
      <c r="AW13" s="15" t="n">
        <v>0.005594</v>
      </c>
      <c r="AX13" s="8" t="n">
        <v>16.467164904743</v>
      </c>
      <c r="AY13" s="5" t="n">
        <v>225</v>
      </c>
    </row>
    <row r="14" customFormat="false" ht="14.9" hidden="false" customHeight="false" outlineLevel="0" collapsed="false">
      <c r="A14" s="5" t="n">
        <v>401</v>
      </c>
      <c r="B14" s="6" t="s">
        <v>91</v>
      </c>
      <c r="C14" s="7" t="s">
        <v>52</v>
      </c>
      <c r="D14" s="7" t="n">
        <v>0</v>
      </c>
      <c r="E14" s="5" t="n">
        <v>31</v>
      </c>
      <c r="F14" s="8" t="n">
        <v>100</v>
      </c>
      <c r="G14" s="8" t="n">
        <v>33.6538355193177</v>
      </c>
      <c r="H14" s="8" t="n">
        <v>25.7480993063351</v>
      </c>
      <c r="I14" s="8" t="n">
        <v>55.1127558952283</v>
      </c>
      <c r="J14" s="5" t="n">
        <v>620</v>
      </c>
      <c r="K14" s="9" t="n">
        <v>44445</v>
      </c>
      <c r="L14" s="10" t="n">
        <v>7.8</v>
      </c>
      <c r="M14" s="11" t="n">
        <v>100</v>
      </c>
      <c r="N14" s="12" t="n">
        <f aca="false">LN(M14)</f>
        <v>4.60517018598809</v>
      </c>
      <c r="O14" s="11" t="n">
        <v>27</v>
      </c>
      <c r="P14" s="9" t="n">
        <v>44452</v>
      </c>
      <c r="Q14" s="10" t="n">
        <v>8</v>
      </c>
      <c r="R14" s="11" t="n">
        <v>1060</v>
      </c>
      <c r="S14" s="12" t="n">
        <f aca="false">LN(R14)</f>
        <v>6.96602418710611</v>
      </c>
      <c r="T14" s="11" t="n">
        <v>9</v>
      </c>
      <c r="U14" s="5" t="n">
        <v>12.62</v>
      </c>
      <c r="V14" s="13"/>
      <c r="W14" s="14" t="n">
        <v>500.343869018386</v>
      </c>
      <c r="X14" s="7" t="s">
        <v>92</v>
      </c>
      <c r="Y14" s="7" t="s">
        <v>93</v>
      </c>
      <c r="Z14" s="7" t="s">
        <v>63</v>
      </c>
      <c r="AA14" s="7" t="n">
        <v>1</v>
      </c>
      <c r="AB14" s="7" t="s">
        <v>52</v>
      </c>
      <c r="AC14" s="5" t="n">
        <v>31</v>
      </c>
      <c r="AD14" s="5" t="n">
        <v>60</v>
      </c>
      <c r="AE14" s="8" t="n">
        <v>33.6538355193177</v>
      </c>
      <c r="AF14" s="8" t="n">
        <v>25.7480993063351</v>
      </c>
      <c r="AG14" s="8" t="n">
        <v>55.1127558952283</v>
      </c>
      <c r="AH14" s="5" t="n">
        <v>620</v>
      </c>
      <c r="AI14" s="7" t="s">
        <v>56</v>
      </c>
      <c r="AJ14" s="7" t="n">
        <v>2</v>
      </c>
      <c r="AK14" s="5" t="n">
        <v>2</v>
      </c>
      <c r="AL14" s="5" t="n">
        <v>280641</v>
      </c>
      <c r="AM14" s="5" t="n">
        <v>5694063</v>
      </c>
      <c r="AN14" s="14" t="n">
        <v>420</v>
      </c>
      <c r="AO14" s="14" t="n">
        <v>150</v>
      </c>
      <c r="AP14" s="15" t="n">
        <f aca="false">M14/AN14</f>
        <v>0.238095238095238</v>
      </c>
      <c r="AQ14" s="16" t="n">
        <f aca="false">LN(AP14)</f>
        <v>-1.43508452528932</v>
      </c>
      <c r="AR14" s="8" t="n">
        <f aca="false">R14/AO14</f>
        <v>7.06666666666667</v>
      </c>
      <c r="AS14" s="15" t="n">
        <f aca="false">LN(AR14)</f>
        <v>1.95538889300986</v>
      </c>
      <c r="AT14" s="5" t="n">
        <v>38</v>
      </c>
      <c r="AU14" s="15" t="n">
        <v>0.815526</v>
      </c>
      <c r="AV14" s="15" t="n">
        <v>0.8</v>
      </c>
      <c r="AW14" s="15" t="n">
        <v>0.07863</v>
      </c>
      <c r="AX14" s="8" t="n">
        <v>17.7627262828655</v>
      </c>
      <c r="AY14" s="5" t="n">
        <v>260</v>
      </c>
    </row>
    <row r="15" customFormat="false" ht="14.9" hidden="false" customHeight="false" outlineLevel="0" collapsed="false">
      <c r="A15" s="5" t="n">
        <v>404</v>
      </c>
      <c r="B15" s="6" t="s">
        <v>94</v>
      </c>
      <c r="C15" s="7" t="s">
        <v>52</v>
      </c>
      <c r="D15" s="7" t="n">
        <v>0</v>
      </c>
      <c r="E15" s="5" t="n">
        <v>42</v>
      </c>
      <c r="F15" s="8" t="n">
        <v>100</v>
      </c>
      <c r="G15" s="8" t="n">
        <v>18.230664904417</v>
      </c>
      <c r="H15" s="8" t="n">
        <v>16.0198889341206</v>
      </c>
      <c r="I15" s="8" t="n">
        <v>43.8595939994772</v>
      </c>
      <c r="J15" s="5" t="n">
        <v>1680</v>
      </c>
      <c r="K15" s="9" t="n">
        <v>44452</v>
      </c>
      <c r="L15" s="10" t="n">
        <v>9.6</v>
      </c>
      <c r="M15" s="11" t="n">
        <v>552</v>
      </c>
      <c r="N15" s="12" t="n">
        <f aca="false">LN(M15)</f>
        <v>6.3135480462771</v>
      </c>
      <c r="O15" s="11" t="n">
        <v>20</v>
      </c>
      <c r="P15" s="9" t="n">
        <v>44456</v>
      </c>
      <c r="Q15" s="10" t="n">
        <v>10</v>
      </c>
      <c r="R15" s="11" t="n">
        <v>974</v>
      </c>
      <c r="S15" s="12" t="n">
        <f aca="false">LN(R15)</f>
        <v>6.88141130364254</v>
      </c>
      <c r="T15" s="11" t="n">
        <v>9</v>
      </c>
      <c r="U15" s="5" t="n">
        <v>8.92</v>
      </c>
      <c r="V15" s="13"/>
      <c r="W15" s="14" t="n">
        <v>249.965217712587</v>
      </c>
      <c r="X15" s="7" t="s">
        <v>95</v>
      </c>
      <c r="Y15" s="7" t="s">
        <v>96</v>
      </c>
      <c r="Z15" s="7" t="s">
        <v>55</v>
      </c>
      <c r="AA15" s="7" t="n">
        <v>0</v>
      </c>
      <c r="AB15" s="7" t="s">
        <v>52</v>
      </c>
      <c r="AC15" s="5" t="n">
        <v>51</v>
      </c>
      <c r="AD15" s="5" t="n">
        <v>40</v>
      </c>
      <c r="AE15" s="8" t="n">
        <v>18.230664904417</v>
      </c>
      <c r="AF15" s="8" t="n">
        <v>16.0198889341206</v>
      </c>
      <c r="AG15" s="8" t="n">
        <v>43.8595939994772</v>
      </c>
      <c r="AH15" s="5" t="n">
        <v>1680</v>
      </c>
      <c r="AI15" s="7" t="s">
        <v>56</v>
      </c>
      <c r="AJ15" s="7" t="n">
        <v>2</v>
      </c>
      <c r="AK15" s="5" t="n">
        <v>2</v>
      </c>
      <c r="AL15" s="5" t="n">
        <v>280767</v>
      </c>
      <c r="AM15" s="5" t="n">
        <v>5694083</v>
      </c>
      <c r="AN15" s="14" t="n">
        <v>490</v>
      </c>
      <c r="AO15" s="14" t="n">
        <v>160</v>
      </c>
      <c r="AP15" s="15" t="n">
        <f aca="false">M15/AN15</f>
        <v>1.1265306122449</v>
      </c>
      <c r="AQ15" s="16" t="n">
        <f aca="false">LN(AP15)</f>
        <v>0.119142655172423</v>
      </c>
      <c r="AR15" s="8" t="n">
        <f aca="false">R15/AO15</f>
        <v>6.0875</v>
      </c>
      <c r="AS15" s="15" t="n">
        <f aca="false">LN(AR15)</f>
        <v>1.80623748840871</v>
      </c>
      <c r="AT15" s="5" t="n">
        <v>24</v>
      </c>
      <c r="AU15" s="15" t="n">
        <v>0.6475</v>
      </c>
      <c r="AV15" s="15" t="n">
        <v>0.66</v>
      </c>
      <c r="AW15" s="15" t="n">
        <v>0.055246</v>
      </c>
      <c r="AX15" s="8" t="n">
        <v>17.635162290152</v>
      </c>
      <c r="AY15" s="5" t="n">
        <v>260</v>
      </c>
    </row>
    <row r="16" customFormat="false" ht="14.9" hidden="false" customHeight="false" outlineLevel="0" collapsed="false">
      <c r="A16" s="5" t="n">
        <v>408</v>
      </c>
      <c r="B16" s="6" t="s">
        <v>97</v>
      </c>
      <c r="C16" s="7" t="s">
        <v>52</v>
      </c>
      <c r="D16" s="7" t="n">
        <v>0</v>
      </c>
      <c r="E16" s="5" t="n">
        <v>37</v>
      </c>
      <c r="F16" s="8" t="n">
        <v>100</v>
      </c>
      <c r="G16" s="8" t="n">
        <v>20.9903452709715</v>
      </c>
      <c r="H16" s="8" t="n">
        <v>23.6950599150775</v>
      </c>
      <c r="I16" s="8" t="n">
        <v>51.2213698244485</v>
      </c>
      <c r="J16" s="5" t="n">
        <v>1480</v>
      </c>
      <c r="K16" s="9" t="n">
        <v>44445</v>
      </c>
      <c r="L16" s="10" t="n">
        <v>10.8</v>
      </c>
      <c r="M16" s="11" t="n">
        <v>169</v>
      </c>
      <c r="N16" s="12" t="n">
        <f aca="false">LN(M16)</f>
        <v>5.12989871492307</v>
      </c>
      <c r="O16" s="11" t="n">
        <v>15</v>
      </c>
      <c r="P16" s="9" t="n">
        <v>44452</v>
      </c>
      <c r="Q16" s="10" t="n">
        <v>10.9</v>
      </c>
      <c r="R16" s="11" t="n">
        <v>1410</v>
      </c>
      <c r="S16" s="12" t="n">
        <f aca="false">LN(R16)</f>
        <v>7.25134498337221</v>
      </c>
      <c r="T16" s="11" t="n">
        <v>8</v>
      </c>
      <c r="U16" s="5" t="n">
        <v>8.92</v>
      </c>
      <c r="V16" s="13"/>
      <c r="W16" s="14" t="n">
        <v>249.965217712587</v>
      </c>
      <c r="X16" s="7" t="s">
        <v>98</v>
      </c>
      <c r="Y16" s="7" t="s">
        <v>99</v>
      </c>
      <c r="Z16" s="7" t="s">
        <v>63</v>
      </c>
      <c r="AA16" s="7" t="n">
        <v>1</v>
      </c>
      <c r="AB16" s="7" t="s">
        <v>52</v>
      </c>
      <c r="AC16" s="5" t="n">
        <v>44</v>
      </c>
      <c r="AD16" s="5" t="n">
        <v>53</v>
      </c>
      <c r="AE16" s="8" t="n">
        <v>20.9903452709715</v>
      </c>
      <c r="AF16" s="8" t="n">
        <v>23.6950599150775</v>
      </c>
      <c r="AG16" s="8" t="n">
        <v>51.2213698244485</v>
      </c>
      <c r="AH16" s="5" t="n">
        <v>1480</v>
      </c>
      <c r="AI16" s="7" t="s">
        <v>56</v>
      </c>
      <c r="AJ16" s="7" t="n">
        <v>2</v>
      </c>
      <c r="AK16" s="5" t="n">
        <v>2</v>
      </c>
      <c r="AL16" s="5" t="n">
        <v>280579</v>
      </c>
      <c r="AM16" s="5" t="n">
        <v>5694327</v>
      </c>
      <c r="AN16" s="14" t="n">
        <v>500</v>
      </c>
      <c r="AO16" s="14" t="n">
        <v>150</v>
      </c>
      <c r="AP16" s="15" t="n">
        <f aca="false">M16/AN16</f>
        <v>0.338</v>
      </c>
      <c r="AQ16" s="16" t="n">
        <f aca="false">LN(AP16)</f>
        <v>-1.08470938349912</v>
      </c>
      <c r="AR16" s="8" t="n">
        <f aca="false">R16/AO16</f>
        <v>9.4</v>
      </c>
      <c r="AS16" s="15" t="n">
        <f aca="false">LN(AR16)</f>
        <v>2.24070968927596</v>
      </c>
      <c r="AT16" s="5" t="n">
        <v>13</v>
      </c>
      <c r="AU16" s="15" t="n">
        <v>0.721538</v>
      </c>
      <c r="AV16" s="15" t="n">
        <v>0.71</v>
      </c>
      <c r="AW16" s="15" t="n">
        <v>0.071988</v>
      </c>
      <c r="AX16" s="8" t="n">
        <v>17.7807211608528</v>
      </c>
      <c r="AY16" s="5" t="n">
        <v>261</v>
      </c>
    </row>
    <row r="17" customFormat="false" ht="14.9" hidden="false" customHeight="false" outlineLevel="0" collapsed="false">
      <c r="A17" s="5" t="n">
        <v>412</v>
      </c>
      <c r="B17" s="6" t="s">
        <v>100</v>
      </c>
      <c r="C17" s="7" t="s">
        <v>52</v>
      </c>
      <c r="D17" s="7" t="n">
        <v>0</v>
      </c>
      <c r="E17" s="5" t="n">
        <v>24</v>
      </c>
      <c r="F17" s="8" t="n">
        <v>100</v>
      </c>
      <c r="G17" s="8" t="n">
        <v>26.3288498292906</v>
      </c>
      <c r="H17" s="8" t="n">
        <v>23.8626159611204</v>
      </c>
      <c r="I17" s="8" t="n">
        <v>52.2739498079591</v>
      </c>
      <c r="J17" s="5" t="n">
        <v>960</v>
      </c>
      <c r="K17" s="17" t="n">
        <v>44449</v>
      </c>
      <c r="L17" s="8" t="n">
        <v>10.8</v>
      </c>
      <c r="M17" s="5" t="n">
        <v>61</v>
      </c>
      <c r="N17" s="12" t="n">
        <f aca="false">LN(M17)</f>
        <v>4.11087386417331</v>
      </c>
      <c r="O17" s="5" t="n">
        <v>17</v>
      </c>
      <c r="P17" s="17" t="n">
        <v>44456</v>
      </c>
      <c r="Q17" s="8" t="n">
        <v>11</v>
      </c>
      <c r="R17" s="5" t="n">
        <v>927</v>
      </c>
      <c r="S17" s="12" t="n">
        <f aca="false">LN(R17)</f>
        <v>6.83195356556586</v>
      </c>
      <c r="T17" s="5" t="n">
        <v>8</v>
      </c>
      <c r="U17" s="5" t="n">
        <v>8.92</v>
      </c>
      <c r="V17" s="13"/>
      <c r="W17" s="14" t="n">
        <v>249.965217712587</v>
      </c>
      <c r="X17" s="7" t="s">
        <v>101</v>
      </c>
      <c r="Y17" s="7" t="s">
        <v>102</v>
      </c>
      <c r="Z17" s="7" t="s">
        <v>63</v>
      </c>
      <c r="AA17" s="7" t="n">
        <v>1</v>
      </c>
      <c r="AB17" s="7" t="s">
        <v>52</v>
      </c>
      <c r="AC17" s="5" t="n">
        <v>31</v>
      </c>
      <c r="AD17" s="5" t="n">
        <v>62</v>
      </c>
      <c r="AE17" s="8" t="n">
        <v>26.3288498292906</v>
      </c>
      <c r="AF17" s="8" t="n">
        <v>23.8626159611204</v>
      </c>
      <c r="AG17" s="8" t="n">
        <v>52.2739498079591</v>
      </c>
      <c r="AH17" s="5" t="n">
        <v>960</v>
      </c>
      <c r="AI17" s="7" t="s">
        <v>56</v>
      </c>
      <c r="AJ17" s="7" t="n">
        <v>2</v>
      </c>
      <c r="AK17" s="5" t="n">
        <v>2</v>
      </c>
      <c r="AL17" s="5" t="n">
        <v>280647</v>
      </c>
      <c r="AM17" s="5" t="n">
        <v>5694398</v>
      </c>
      <c r="AN17" s="14" t="n">
        <v>420</v>
      </c>
      <c r="AO17" s="14" t="n">
        <v>150</v>
      </c>
      <c r="AP17" s="15" t="n">
        <f aca="false">M17/AN17</f>
        <v>0.145238095238095</v>
      </c>
      <c r="AQ17" s="16" t="n">
        <f aca="false">LN(AP17)</f>
        <v>-1.9293808471041</v>
      </c>
      <c r="AR17" s="8" t="n">
        <f aca="false">R17/AO17</f>
        <v>6.18</v>
      </c>
      <c r="AS17" s="15" t="n">
        <f aca="false">LN(AR17)</f>
        <v>1.8213182714696</v>
      </c>
      <c r="AT17" s="5" t="n">
        <v>22</v>
      </c>
      <c r="AU17" s="15" t="n">
        <v>0.723636</v>
      </c>
      <c r="AV17" s="15" t="n">
        <v>0.715</v>
      </c>
      <c r="AW17" s="15" t="n">
        <v>0.060943</v>
      </c>
      <c r="AX17" s="8" t="n">
        <v>17.7025770440351</v>
      </c>
      <c r="AY17" s="5" t="n">
        <v>261</v>
      </c>
    </row>
    <row r="18" customFormat="false" ht="14.9" hidden="false" customHeight="false" outlineLevel="0" collapsed="false">
      <c r="A18" s="5" t="n">
        <v>416</v>
      </c>
      <c r="B18" s="6" t="s">
        <v>103</v>
      </c>
      <c r="C18" s="7" t="s">
        <v>52</v>
      </c>
      <c r="D18" s="7" t="n">
        <v>0</v>
      </c>
      <c r="E18" s="5" t="n">
        <v>25</v>
      </c>
      <c r="F18" s="8" t="n">
        <v>100</v>
      </c>
      <c r="G18" s="8" t="n">
        <v>22.0236236800396</v>
      </c>
      <c r="H18" s="8" t="n">
        <v>14.2221966053266</v>
      </c>
      <c r="I18" s="8" t="n">
        <v>38.1002533732832</v>
      </c>
      <c r="J18" s="5" t="n">
        <v>1000</v>
      </c>
      <c r="K18" s="9" t="n">
        <v>44445</v>
      </c>
      <c r="L18" s="10" t="n">
        <v>12.9</v>
      </c>
      <c r="M18" s="11" t="n">
        <v>27</v>
      </c>
      <c r="N18" s="12" t="n">
        <f aca="false">LN(M18)</f>
        <v>3.29583686600433</v>
      </c>
      <c r="O18" s="11" t="n">
        <v>66</v>
      </c>
      <c r="P18" s="9" t="n">
        <v>44452</v>
      </c>
      <c r="Q18" s="10" t="n">
        <v>12.9</v>
      </c>
      <c r="R18" s="11" t="n">
        <v>405</v>
      </c>
      <c r="S18" s="12" t="n">
        <f aca="false">LN(R18)</f>
        <v>6.00388706710654</v>
      </c>
      <c r="T18" s="11" t="n">
        <v>10</v>
      </c>
      <c r="U18" s="5" t="n">
        <v>8.92</v>
      </c>
      <c r="V18" s="13"/>
      <c r="W18" s="14" t="n">
        <v>249.965217712587</v>
      </c>
      <c r="X18" s="7" t="s">
        <v>104</v>
      </c>
      <c r="Y18" s="7" t="s">
        <v>105</v>
      </c>
      <c r="Z18" s="7" t="s">
        <v>55</v>
      </c>
      <c r="AA18" s="7" t="n">
        <v>0</v>
      </c>
      <c r="AB18" s="7" t="s">
        <v>52</v>
      </c>
      <c r="AC18" s="5" t="n">
        <v>25</v>
      </c>
      <c r="AD18" s="5" t="n">
        <v>15</v>
      </c>
      <c r="AE18" s="8" t="n">
        <v>22.0236236800396</v>
      </c>
      <c r="AF18" s="8" t="n">
        <v>14.2221966053266</v>
      </c>
      <c r="AG18" s="8" t="n">
        <v>38.1002533732832</v>
      </c>
      <c r="AH18" s="5" t="n">
        <v>1000</v>
      </c>
      <c r="AI18" s="7" t="s">
        <v>56</v>
      </c>
      <c r="AJ18" s="7" t="n">
        <v>2</v>
      </c>
      <c r="AK18" s="5" t="n">
        <v>2</v>
      </c>
      <c r="AL18" s="5" t="n">
        <v>280671</v>
      </c>
      <c r="AM18" s="5" t="n">
        <v>5694516</v>
      </c>
      <c r="AN18" s="14" t="n">
        <v>450</v>
      </c>
      <c r="AO18" s="14" t="n">
        <v>140</v>
      </c>
      <c r="AP18" s="18" t="n">
        <f aca="false">M18/AN18</f>
        <v>0.06</v>
      </c>
      <c r="AQ18" s="16" t="n">
        <f aca="false">LN(AP18)</f>
        <v>-2.81341071676004</v>
      </c>
      <c r="AR18" s="8" t="n">
        <f aca="false">R18/AO18</f>
        <v>2.89285714285714</v>
      </c>
      <c r="AS18" s="15" t="n">
        <f aca="false">LN(AR18)</f>
        <v>1.06224464449723</v>
      </c>
      <c r="AT18" s="5" t="n">
        <v>30</v>
      </c>
      <c r="AU18" s="15" t="n">
        <v>0.527333</v>
      </c>
      <c r="AV18" s="15" t="n">
        <v>0.54</v>
      </c>
      <c r="AW18" s="15" t="n">
        <v>0.068065</v>
      </c>
      <c r="AX18" s="8" t="n">
        <v>17.6612022807056</v>
      </c>
      <c r="AY18" s="5" t="n">
        <v>262</v>
      </c>
    </row>
    <row r="19" customFormat="false" ht="14.9" hidden="false" customHeight="false" outlineLevel="0" collapsed="false">
      <c r="A19" s="5" t="n">
        <v>419</v>
      </c>
      <c r="B19" s="6" t="s">
        <v>106</v>
      </c>
      <c r="C19" s="7" t="s">
        <v>52</v>
      </c>
      <c r="D19" s="7" t="n">
        <v>0</v>
      </c>
      <c r="E19" s="5" t="n">
        <v>21</v>
      </c>
      <c r="F19" s="8" t="n">
        <v>100</v>
      </c>
      <c r="G19" s="8" t="n">
        <v>15.6433463719974</v>
      </c>
      <c r="H19" s="8" t="n">
        <v>14.4860903759521</v>
      </c>
      <c r="I19" s="8" t="n">
        <v>16.1468911500332</v>
      </c>
      <c r="J19" s="5" t="n">
        <v>840</v>
      </c>
      <c r="K19" s="9" t="n">
        <v>44453</v>
      </c>
      <c r="L19" s="10" t="n">
        <v>5.4</v>
      </c>
      <c r="M19" s="11" t="n">
        <v>72</v>
      </c>
      <c r="N19" s="12" t="n">
        <f aca="false">LN(M19)</f>
        <v>4.27666611901606</v>
      </c>
      <c r="O19" s="11" t="n">
        <v>30</v>
      </c>
      <c r="P19" s="9" t="n">
        <v>44456</v>
      </c>
      <c r="Q19" s="10" t="n">
        <v>5.4</v>
      </c>
      <c r="R19" s="11" t="n">
        <v>315</v>
      </c>
      <c r="S19" s="12" t="n">
        <f aca="false">LN(R19)</f>
        <v>5.75257263882563</v>
      </c>
      <c r="T19" s="11" t="n">
        <v>12</v>
      </c>
      <c r="U19" s="5" t="n">
        <v>8.92</v>
      </c>
      <c r="V19" s="13"/>
      <c r="W19" s="14" t="n">
        <v>249.965217712587</v>
      </c>
      <c r="X19" s="7" t="s">
        <v>107</v>
      </c>
      <c r="Y19" s="7" t="s">
        <v>108</v>
      </c>
      <c r="Z19" s="7" t="s">
        <v>55</v>
      </c>
      <c r="AA19" s="7" t="n">
        <v>0</v>
      </c>
      <c r="AB19" s="7" t="s">
        <v>52</v>
      </c>
      <c r="AC19" s="5" t="n">
        <v>21</v>
      </c>
      <c r="AD19" s="5" t="n">
        <v>15</v>
      </c>
      <c r="AE19" s="8" t="n">
        <v>15.6433463719974</v>
      </c>
      <c r="AF19" s="8" t="n">
        <v>14.4860903759521</v>
      </c>
      <c r="AG19" s="8" t="n">
        <v>16.1468911500332</v>
      </c>
      <c r="AH19" s="5" t="n">
        <v>840</v>
      </c>
      <c r="AI19" s="7" t="s">
        <v>56</v>
      </c>
      <c r="AJ19" s="7" t="n">
        <v>2</v>
      </c>
      <c r="AK19" s="5" t="n">
        <v>2</v>
      </c>
      <c r="AL19" s="5" t="n">
        <v>280672</v>
      </c>
      <c r="AM19" s="5" t="n">
        <v>5694590</v>
      </c>
      <c r="AN19" s="14" t="n">
        <v>800</v>
      </c>
      <c r="AO19" s="14" t="n">
        <v>260</v>
      </c>
      <c r="AP19" s="15" t="n">
        <f aca="false">M19/AN19</f>
        <v>0.09</v>
      </c>
      <c r="AQ19" s="16" t="n">
        <f aca="false">LN(AP19)</f>
        <v>-2.40794560865187</v>
      </c>
      <c r="AR19" s="8" t="n">
        <f aca="false">R19/AO19</f>
        <v>1.21153846153846</v>
      </c>
      <c r="AS19" s="15" t="n">
        <f aca="false">LN(AR19)</f>
        <v>0.191891007810105</v>
      </c>
      <c r="AT19" s="5" t="n">
        <v>24</v>
      </c>
      <c r="AU19" s="15" t="n">
        <v>0.475</v>
      </c>
      <c r="AV19" s="15" t="n">
        <v>0.47</v>
      </c>
      <c r="AW19" s="15" t="n">
        <v>0.036515</v>
      </c>
      <c r="AX19" s="8" t="n">
        <v>17.6495331666308</v>
      </c>
      <c r="AY19" s="5" t="n">
        <v>262</v>
      </c>
    </row>
    <row r="20" customFormat="false" ht="14.9" hidden="false" customHeight="false" outlineLevel="0" collapsed="false">
      <c r="A20" s="5" t="n">
        <v>422</v>
      </c>
      <c r="B20" s="6" t="s">
        <v>109</v>
      </c>
      <c r="C20" s="7" t="s">
        <v>52</v>
      </c>
      <c r="D20" s="7" t="n">
        <v>0</v>
      </c>
      <c r="E20" s="5" t="n">
        <v>18</v>
      </c>
      <c r="F20" s="8" t="n">
        <v>100</v>
      </c>
      <c r="G20" s="8" t="n">
        <v>14.0218084108688</v>
      </c>
      <c r="H20" s="8" t="n">
        <v>8.45275124439509</v>
      </c>
      <c r="I20" s="8" t="n">
        <v>27.8139303857955</v>
      </c>
      <c r="J20" s="5" t="n">
        <v>1800</v>
      </c>
      <c r="K20" s="9" t="n">
        <v>44449</v>
      </c>
      <c r="L20" s="10" t="n">
        <v>6.8</v>
      </c>
      <c r="M20" s="11" t="n">
        <v>34</v>
      </c>
      <c r="N20" s="12" t="n">
        <f aca="false">LN(M20)</f>
        <v>3.52636052461616</v>
      </c>
      <c r="O20" s="11" t="n">
        <v>28</v>
      </c>
      <c r="P20" s="9" t="n">
        <v>44456</v>
      </c>
      <c r="Q20" s="10" t="n">
        <v>6.7</v>
      </c>
      <c r="R20" s="11" t="n">
        <v>243</v>
      </c>
      <c r="S20" s="12" t="n">
        <f aca="false">LN(R20)</f>
        <v>5.49306144334055</v>
      </c>
      <c r="T20" s="11" t="n">
        <v>12</v>
      </c>
      <c r="U20" s="5" t="n">
        <v>5.64</v>
      </c>
      <c r="V20" s="13"/>
      <c r="W20" s="14" t="n">
        <v>99.9328056736299</v>
      </c>
      <c r="X20" s="7" t="s">
        <v>110</v>
      </c>
      <c r="Y20" s="7" t="s">
        <v>111</v>
      </c>
      <c r="Z20" s="7" t="s">
        <v>55</v>
      </c>
      <c r="AA20" s="7" t="n">
        <v>0</v>
      </c>
      <c r="AB20" s="7" t="s">
        <v>52</v>
      </c>
      <c r="AC20" s="5" t="n">
        <v>18</v>
      </c>
      <c r="AD20" s="5" t="n">
        <v>30</v>
      </c>
      <c r="AE20" s="8" t="n">
        <v>14.0218084108688</v>
      </c>
      <c r="AF20" s="8" t="n">
        <v>8.45275124439509</v>
      </c>
      <c r="AG20" s="8" t="n">
        <v>27.8139303857955</v>
      </c>
      <c r="AH20" s="5" t="n">
        <v>1800</v>
      </c>
      <c r="AI20" s="7" t="s">
        <v>56</v>
      </c>
      <c r="AJ20" s="7" t="n">
        <v>2</v>
      </c>
      <c r="AK20" s="5" t="n">
        <v>2</v>
      </c>
      <c r="AL20" s="5" t="n">
        <v>280692</v>
      </c>
      <c r="AM20" s="5" t="n">
        <v>5695403</v>
      </c>
      <c r="AN20" s="14" t="n">
        <v>390</v>
      </c>
      <c r="AO20" s="14" t="n">
        <v>120</v>
      </c>
      <c r="AP20" s="18" t="n">
        <f aca="false">M20/AN20</f>
        <v>0.0871794871794872</v>
      </c>
      <c r="AQ20" s="16" t="n">
        <f aca="false">LN(AP20)</f>
        <v>-2.43978621450753</v>
      </c>
      <c r="AR20" s="8" t="n">
        <f aca="false">R20/AO20</f>
        <v>2.025</v>
      </c>
      <c r="AS20" s="15" t="n">
        <f aca="false">LN(AR20)</f>
        <v>0.705569700558502</v>
      </c>
      <c r="AT20" s="5" t="n">
        <v>10</v>
      </c>
      <c r="AU20" s="15" t="n">
        <v>0.52</v>
      </c>
      <c r="AV20" s="15" t="n">
        <v>0.52</v>
      </c>
      <c r="AW20" s="15" t="n">
        <v>0.02</v>
      </c>
      <c r="AX20" s="8" t="n">
        <v>17.5324186580175</v>
      </c>
      <c r="AY20" s="5" t="n">
        <v>264</v>
      </c>
    </row>
    <row r="21" customFormat="false" ht="14.9" hidden="false" customHeight="false" outlineLevel="0" collapsed="false">
      <c r="A21" s="5" t="n">
        <v>425</v>
      </c>
      <c r="B21" s="6" t="s">
        <v>112</v>
      </c>
      <c r="C21" s="7" t="s">
        <v>52</v>
      </c>
      <c r="D21" s="7" t="n">
        <v>0</v>
      </c>
      <c r="E21" s="5" t="n">
        <v>25</v>
      </c>
      <c r="F21" s="8" t="n">
        <v>99.5124085766081</v>
      </c>
      <c r="G21" s="8" t="n">
        <v>35.6864119799119</v>
      </c>
      <c r="H21" s="8" t="n">
        <v>21.0169673000741</v>
      </c>
      <c r="I21" s="8" t="n">
        <v>49.9766426144198</v>
      </c>
      <c r="J21" s="5" t="n">
        <v>500</v>
      </c>
      <c r="K21" s="9" t="n">
        <v>44449</v>
      </c>
      <c r="L21" s="10" t="n">
        <v>10</v>
      </c>
      <c r="M21" s="11" t="n">
        <v>39</v>
      </c>
      <c r="N21" s="12" t="n">
        <f aca="false">LN(M21)</f>
        <v>3.66356164612965</v>
      </c>
      <c r="O21" s="11" t="n">
        <v>47</v>
      </c>
      <c r="P21" s="9" t="n">
        <v>44456</v>
      </c>
      <c r="Q21" s="10" t="n">
        <v>10.1</v>
      </c>
      <c r="R21" s="11" t="n">
        <v>682</v>
      </c>
      <c r="S21" s="12" t="n">
        <f aca="false">LN(R21)</f>
        <v>6.52502965784346</v>
      </c>
      <c r="T21" s="11" t="n">
        <v>10</v>
      </c>
      <c r="U21" s="5" t="n">
        <v>12.62</v>
      </c>
      <c r="V21" s="13"/>
      <c r="W21" s="14" t="n">
        <v>500.343869018386</v>
      </c>
      <c r="X21" s="7" t="s">
        <v>113</v>
      </c>
      <c r="Y21" s="7" t="s">
        <v>114</v>
      </c>
      <c r="Z21" s="7" t="s">
        <v>55</v>
      </c>
      <c r="AA21" s="7" t="n">
        <v>0</v>
      </c>
      <c r="AB21" s="7" t="s">
        <v>52</v>
      </c>
      <c r="AC21" s="5" t="n">
        <v>32</v>
      </c>
      <c r="AD21" s="5" t="n">
        <v>65</v>
      </c>
      <c r="AE21" s="8" t="n">
        <v>33.2150775900094</v>
      </c>
      <c r="AF21" s="8" t="n">
        <v>20.9934442644573</v>
      </c>
      <c r="AG21" s="8" t="n">
        <v>50.2215184309865</v>
      </c>
      <c r="AH21" s="5" t="n">
        <v>580</v>
      </c>
      <c r="AI21" s="7" t="s">
        <v>56</v>
      </c>
      <c r="AJ21" s="7" t="n">
        <v>2</v>
      </c>
      <c r="AK21" s="5" t="n">
        <v>2</v>
      </c>
      <c r="AL21" s="5" t="n">
        <v>280616</v>
      </c>
      <c r="AM21" s="5" t="n">
        <v>5695417</v>
      </c>
      <c r="AN21" s="14" t="n">
        <v>650</v>
      </c>
      <c r="AO21" s="14" t="n">
        <v>220</v>
      </c>
      <c r="AP21" s="18" t="n">
        <f aca="false">M21/AN21</f>
        <v>0.06</v>
      </c>
      <c r="AQ21" s="16" t="n">
        <f aca="false">LN(AP21)</f>
        <v>-2.81341071676004</v>
      </c>
      <c r="AR21" s="8" t="n">
        <f aca="false">R21/AO21</f>
        <v>3.1</v>
      </c>
      <c r="AS21" s="15" t="n">
        <f aca="false">LN(AR21)</f>
        <v>1.1314021114911</v>
      </c>
      <c r="AT21" s="5" t="n">
        <v>42</v>
      </c>
      <c r="AU21" s="15" t="n">
        <v>0.663095</v>
      </c>
      <c r="AV21" s="15" t="n">
        <v>0.67</v>
      </c>
      <c r="AW21" s="15" t="n">
        <v>0.059581</v>
      </c>
      <c r="AX21" s="8" t="n">
        <v>17.6067183768015</v>
      </c>
      <c r="AY21" s="5" t="n">
        <v>265</v>
      </c>
    </row>
    <row r="22" customFormat="false" ht="14.9" hidden="false" customHeight="false" outlineLevel="0" collapsed="false">
      <c r="A22" s="5" t="n">
        <v>430</v>
      </c>
      <c r="B22" s="6" t="s">
        <v>115</v>
      </c>
      <c r="C22" s="7" t="s">
        <v>52</v>
      </c>
      <c r="D22" s="7" t="n">
        <v>0</v>
      </c>
      <c r="E22" s="5" t="n">
        <v>24</v>
      </c>
      <c r="F22" s="8" t="n">
        <v>100</v>
      </c>
      <c r="G22" s="8" t="n">
        <v>22.1331199788914</v>
      </c>
      <c r="H22" s="8" t="n">
        <v>13.6848729477193</v>
      </c>
      <c r="I22" s="8" t="n">
        <v>36.9408443765207</v>
      </c>
      <c r="J22" s="5" t="n">
        <v>960</v>
      </c>
      <c r="K22" s="9" t="n">
        <v>44453</v>
      </c>
      <c r="L22" s="10" t="n">
        <v>10.6</v>
      </c>
      <c r="M22" s="11" t="n">
        <v>11</v>
      </c>
      <c r="N22" s="12" t="n">
        <f aca="false">LN(M22)</f>
        <v>2.39789527279837</v>
      </c>
      <c r="O22" s="19"/>
      <c r="P22" s="9" t="n">
        <v>44456</v>
      </c>
      <c r="Q22" s="10" t="n">
        <v>10.9</v>
      </c>
      <c r="R22" s="11" t="n">
        <v>694</v>
      </c>
      <c r="S22" s="12" t="n">
        <f aca="false">LN(R22)</f>
        <v>6.54247196050681</v>
      </c>
      <c r="T22" s="11" t="n">
        <v>10</v>
      </c>
      <c r="U22" s="5" t="n">
        <v>8.92</v>
      </c>
      <c r="V22" s="13"/>
      <c r="W22" s="14" t="n">
        <v>249.965217712587</v>
      </c>
      <c r="X22" s="7" t="s">
        <v>116</v>
      </c>
      <c r="Y22" s="7" t="s">
        <v>117</v>
      </c>
      <c r="Z22" s="7" t="s">
        <v>55</v>
      </c>
      <c r="AA22" s="7" t="n">
        <v>0</v>
      </c>
      <c r="AB22" s="7" t="s">
        <v>52</v>
      </c>
      <c r="AC22" s="5" t="n">
        <v>24</v>
      </c>
      <c r="AD22" s="5" t="n">
        <v>20</v>
      </c>
      <c r="AE22" s="8" t="n">
        <v>22.1331199788914</v>
      </c>
      <c r="AF22" s="8" t="n">
        <v>13.6848729477193</v>
      </c>
      <c r="AG22" s="8" t="n">
        <v>36.9408443765207</v>
      </c>
      <c r="AH22" s="5" t="n">
        <v>960</v>
      </c>
      <c r="AI22" s="7" t="s">
        <v>56</v>
      </c>
      <c r="AJ22" s="7" t="n">
        <v>2</v>
      </c>
      <c r="AK22" s="5" t="n">
        <v>2</v>
      </c>
      <c r="AL22" s="5" t="n">
        <v>280637</v>
      </c>
      <c r="AM22" s="5" t="n">
        <v>5695570</v>
      </c>
      <c r="AN22" s="14" t="n">
        <v>390</v>
      </c>
      <c r="AO22" s="14" t="n">
        <v>150</v>
      </c>
      <c r="AP22" s="18" t="n">
        <f aca="false">M22/AN22</f>
        <v>0.0282051282051282</v>
      </c>
      <c r="AQ22" s="16" t="n">
        <f aca="false">LN(AP22)</f>
        <v>-3.56825146632532</v>
      </c>
      <c r="AR22" s="8" t="n">
        <f aca="false">R22/AO22</f>
        <v>4.62666666666667</v>
      </c>
      <c r="AS22" s="15" t="n">
        <f aca="false">LN(AR22)</f>
        <v>1.53183666641055</v>
      </c>
      <c r="AT22" s="5" t="n">
        <v>31</v>
      </c>
      <c r="AU22" s="15" t="n">
        <v>0.552581</v>
      </c>
      <c r="AV22" s="15" t="n">
        <v>0.56</v>
      </c>
      <c r="AW22" s="15" t="n">
        <v>0.0713</v>
      </c>
      <c r="AX22" s="8" t="n">
        <v>17.5718236389966</v>
      </c>
      <c r="AY22" s="5" t="n">
        <v>265</v>
      </c>
    </row>
    <row r="23" customFormat="false" ht="14.9" hidden="false" customHeight="false" outlineLevel="0" collapsed="false">
      <c r="A23" s="5" t="n">
        <v>452</v>
      </c>
      <c r="B23" s="6" t="s">
        <v>118</v>
      </c>
      <c r="C23" s="7" t="s">
        <v>52</v>
      </c>
      <c r="D23" s="7" t="n">
        <v>0</v>
      </c>
      <c r="E23" s="5" t="n">
        <v>28</v>
      </c>
      <c r="F23" s="8" t="n">
        <v>97.8764746703678</v>
      </c>
      <c r="G23" s="8" t="n">
        <v>22.4435800556481</v>
      </c>
      <c r="H23" s="8" t="n">
        <v>21.6373288533513</v>
      </c>
      <c r="I23" s="8" t="n">
        <v>44.3151883206982</v>
      </c>
      <c r="J23" s="5" t="n">
        <v>1120</v>
      </c>
      <c r="K23" s="9" t="n">
        <v>44452</v>
      </c>
      <c r="L23" s="10" t="n">
        <v>10.6</v>
      </c>
      <c r="M23" s="11" t="n">
        <v>752</v>
      </c>
      <c r="N23" s="12" t="n">
        <f aca="false">LN(M23)</f>
        <v>6.62273632394984</v>
      </c>
      <c r="O23" s="11" t="n">
        <v>10</v>
      </c>
      <c r="P23" s="9" t="n">
        <v>44456</v>
      </c>
      <c r="Q23" s="10" t="n">
        <v>11</v>
      </c>
      <c r="R23" s="11" t="n">
        <v>1380</v>
      </c>
      <c r="S23" s="12" t="n">
        <f aca="false">LN(R23)</f>
        <v>7.22983877815125</v>
      </c>
      <c r="T23" s="11" t="n">
        <v>9</v>
      </c>
      <c r="U23" s="5" t="n">
        <v>8.92</v>
      </c>
      <c r="V23" s="13"/>
      <c r="W23" s="14" t="n">
        <v>249.965217712587</v>
      </c>
      <c r="X23" s="7" t="s">
        <v>119</v>
      </c>
      <c r="Y23" s="7" t="s">
        <v>120</v>
      </c>
      <c r="Z23" s="7" t="s">
        <v>63</v>
      </c>
      <c r="AA23" s="7" t="n">
        <v>1</v>
      </c>
      <c r="AB23" s="7" t="s">
        <v>52</v>
      </c>
      <c r="AC23" s="5" t="n">
        <v>33</v>
      </c>
      <c r="AD23" s="5" t="n">
        <v>98</v>
      </c>
      <c r="AE23" s="8" t="n">
        <v>21.9165082377037</v>
      </c>
      <c r="AF23" s="8" t="n">
        <v>21.6042362207004</v>
      </c>
      <c r="AG23" s="8" t="n">
        <v>45.2766494399646</v>
      </c>
      <c r="AH23" s="5" t="n">
        <v>1200</v>
      </c>
      <c r="AI23" s="7" t="s">
        <v>56</v>
      </c>
      <c r="AJ23" s="7" t="n">
        <v>2</v>
      </c>
      <c r="AK23" s="5" t="n">
        <v>2</v>
      </c>
      <c r="AL23" s="5" t="n">
        <v>279168</v>
      </c>
      <c r="AM23" s="5" t="n">
        <v>5693009</v>
      </c>
      <c r="AN23" s="14" t="n">
        <v>240</v>
      </c>
      <c r="AO23" s="14" t="n">
        <v>93.309983092</v>
      </c>
      <c r="AP23" s="15" t="n">
        <f aca="false">M23/AN23</f>
        <v>3.13333333333333</v>
      </c>
      <c r="AQ23" s="16" t="n">
        <f aca="false">LN(AP23)</f>
        <v>1.14209740060785</v>
      </c>
      <c r="AR23" s="8" t="n">
        <f aca="false">R23/AO23</f>
        <v>14.789414318502</v>
      </c>
      <c r="AS23" s="15" t="n">
        <f aca="false">LN(AR23)</f>
        <v>2.69391167610778</v>
      </c>
      <c r="AT23" s="5" t="n">
        <v>19</v>
      </c>
      <c r="AU23" s="15" t="n">
        <v>0.391053</v>
      </c>
      <c r="AV23" s="15" t="n">
        <v>0.39</v>
      </c>
      <c r="AW23" s="15" t="n">
        <v>0.028635</v>
      </c>
      <c r="AX23" s="8" t="n">
        <v>19.4102328682579</v>
      </c>
      <c r="AY23" s="5" t="n">
        <v>258</v>
      </c>
    </row>
    <row r="24" customFormat="false" ht="14.9" hidden="false" customHeight="false" outlineLevel="0" collapsed="false">
      <c r="A24" s="5" t="n">
        <v>465</v>
      </c>
      <c r="B24" s="6" t="s">
        <v>121</v>
      </c>
      <c r="C24" s="7" t="s">
        <v>52</v>
      </c>
      <c r="D24" s="7" t="n">
        <v>0</v>
      </c>
      <c r="E24" s="5" t="n">
        <v>31</v>
      </c>
      <c r="F24" s="8" t="n">
        <v>100</v>
      </c>
      <c r="G24" s="8" t="n">
        <v>29.7933744528934</v>
      </c>
      <c r="H24" s="8" t="n">
        <v>27.2357592180223</v>
      </c>
      <c r="I24" s="8" t="n">
        <v>43.1938964388778</v>
      </c>
      <c r="J24" s="5" t="n">
        <v>620</v>
      </c>
      <c r="K24" s="9" t="n">
        <v>44445</v>
      </c>
      <c r="L24" s="10" t="n">
        <v>8.5</v>
      </c>
      <c r="M24" s="11" t="n">
        <v>790</v>
      </c>
      <c r="N24" s="12" t="n">
        <f aca="false">LN(M24)</f>
        <v>6.67203294546107</v>
      </c>
      <c r="O24" s="11" t="n">
        <v>10</v>
      </c>
      <c r="P24" s="9" t="n">
        <v>44452</v>
      </c>
      <c r="Q24" s="10" t="n">
        <v>8.6</v>
      </c>
      <c r="R24" s="11" t="n">
        <v>917</v>
      </c>
      <c r="S24" s="12" t="n">
        <f aca="false">LN(R24)</f>
        <v>6.82110747225646</v>
      </c>
      <c r="T24" s="11" t="n">
        <v>10</v>
      </c>
      <c r="U24" s="5" t="n">
        <v>12.62</v>
      </c>
      <c r="V24" s="13"/>
      <c r="W24" s="14" t="n">
        <v>500.343869018386</v>
      </c>
      <c r="X24" s="7" t="s">
        <v>122</v>
      </c>
      <c r="Y24" s="7" t="s">
        <v>123</v>
      </c>
      <c r="Z24" s="7" t="s">
        <v>63</v>
      </c>
      <c r="AA24" s="7" t="n">
        <v>1</v>
      </c>
      <c r="AB24" s="7" t="s">
        <v>52</v>
      </c>
      <c r="AC24" s="5" t="n">
        <v>33</v>
      </c>
      <c r="AD24" s="5" t="n">
        <v>80</v>
      </c>
      <c r="AE24" s="8" t="n">
        <v>29.7933744528934</v>
      </c>
      <c r="AF24" s="8" t="n">
        <v>27.2357592180223</v>
      </c>
      <c r="AG24" s="8" t="n">
        <v>43.1938964388778</v>
      </c>
      <c r="AH24" s="5" t="n">
        <v>620</v>
      </c>
      <c r="AI24" s="7" t="s">
        <v>56</v>
      </c>
      <c r="AJ24" s="7" t="n">
        <v>2</v>
      </c>
      <c r="AK24" s="5" t="n">
        <v>2</v>
      </c>
      <c r="AL24" s="5" t="n">
        <v>265839</v>
      </c>
      <c r="AM24" s="5" t="n">
        <v>5688219</v>
      </c>
      <c r="AN24" s="14" t="n">
        <v>9500</v>
      </c>
      <c r="AO24" s="14" t="n">
        <v>430</v>
      </c>
      <c r="AP24" s="15" t="n">
        <f aca="false">M24/AN24</f>
        <v>0.0831578947368421</v>
      </c>
      <c r="AQ24" s="16" t="n">
        <f aca="false">LN(AP24)</f>
        <v>-2.48701413212757</v>
      </c>
      <c r="AR24" s="8" t="n">
        <f aca="false">R24/AO24</f>
        <v>2.13255813953488</v>
      </c>
      <c r="AS24" s="15" t="n">
        <f aca="false">LN(AR24)</f>
        <v>0.757322263568857</v>
      </c>
      <c r="AT24" s="5" t="n">
        <v>18</v>
      </c>
      <c r="AU24" s="15" t="n">
        <v>9.419444</v>
      </c>
      <c r="AV24" s="15" t="n">
        <v>9.365</v>
      </c>
      <c r="AW24" s="15" t="n">
        <v>1.160965</v>
      </c>
      <c r="AX24" s="8" t="n">
        <v>33.5018467102934</v>
      </c>
      <c r="AY24" s="5" t="n">
        <v>255</v>
      </c>
    </row>
    <row r="25" customFormat="false" ht="14.9" hidden="false" customHeight="false" outlineLevel="0" collapsed="false">
      <c r="A25" s="5" t="n">
        <v>476</v>
      </c>
      <c r="B25" s="6" t="s">
        <v>124</v>
      </c>
      <c r="C25" s="7" t="s">
        <v>52</v>
      </c>
      <c r="D25" s="7" t="n">
        <v>0</v>
      </c>
      <c r="E25" s="5" t="n">
        <v>33</v>
      </c>
      <c r="F25" s="8" t="n">
        <v>100</v>
      </c>
      <c r="G25" s="8" t="n">
        <v>20.7049986645006</v>
      </c>
      <c r="H25" s="8" t="n">
        <v>20.7439291809639</v>
      </c>
      <c r="I25" s="8" t="n">
        <v>44.4502956021637</v>
      </c>
      <c r="J25" s="5" t="n">
        <v>1320</v>
      </c>
      <c r="K25" s="9" t="n">
        <v>44449</v>
      </c>
      <c r="L25" s="10" t="n">
        <v>10.1</v>
      </c>
      <c r="M25" s="11" t="n">
        <v>145</v>
      </c>
      <c r="N25" s="12" t="n">
        <f aca="false">LN(M25)</f>
        <v>4.97673374242057</v>
      </c>
      <c r="O25" s="11" t="n">
        <v>27</v>
      </c>
      <c r="P25" s="9" t="n">
        <v>44456</v>
      </c>
      <c r="Q25" s="10" t="n">
        <v>10.5</v>
      </c>
      <c r="R25" s="11" t="n">
        <v>274</v>
      </c>
      <c r="S25" s="12" t="n">
        <f aca="false">LN(R25)</f>
        <v>5.61312810638807</v>
      </c>
      <c r="T25" s="11" t="n">
        <v>12</v>
      </c>
      <c r="U25" s="5" t="n">
        <v>8.92</v>
      </c>
      <c r="V25" s="13"/>
      <c r="W25" s="14" t="n">
        <v>249.965217712587</v>
      </c>
      <c r="X25" s="7" t="s">
        <v>125</v>
      </c>
      <c r="Y25" s="7" t="s">
        <v>126</v>
      </c>
      <c r="Z25" s="7" t="s">
        <v>63</v>
      </c>
      <c r="AA25" s="7" t="n">
        <v>1</v>
      </c>
      <c r="AB25" s="7" t="s">
        <v>52</v>
      </c>
      <c r="AC25" s="5" t="n">
        <v>37</v>
      </c>
      <c r="AD25" s="5" t="n">
        <v>56</v>
      </c>
      <c r="AE25" s="8" t="n">
        <v>20.7049986645006</v>
      </c>
      <c r="AF25" s="8" t="n">
        <v>20.7439291809639</v>
      </c>
      <c r="AG25" s="8" t="n">
        <v>44.4502956021637</v>
      </c>
      <c r="AH25" s="5" t="n">
        <v>1320</v>
      </c>
      <c r="AI25" s="7" t="s">
        <v>56</v>
      </c>
      <c r="AJ25" s="7" t="n">
        <v>2</v>
      </c>
      <c r="AK25" s="5" t="n">
        <v>2</v>
      </c>
      <c r="AL25" s="5" t="n">
        <v>300167</v>
      </c>
      <c r="AM25" s="5" t="n">
        <v>5676246</v>
      </c>
      <c r="AN25" s="14" t="n">
        <v>120</v>
      </c>
      <c r="AO25" s="14" t="n">
        <v>29.452002468</v>
      </c>
      <c r="AP25" s="15" t="n">
        <f aca="false">M25/AN25</f>
        <v>1.20833333333333</v>
      </c>
      <c r="AQ25" s="16" t="n">
        <f aca="false">LN(AP25)</f>
        <v>0.189241999638528</v>
      </c>
      <c r="AR25" s="8" t="n">
        <f aca="false">R25/AO25</f>
        <v>9.30327234277889</v>
      </c>
      <c r="AS25" s="15" t="n">
        <f aca="false">LN(AR25)</f>
        <v>2.23036620308424</v>
      </c>
      <c r="AT25" s="5" t="n">
        <v>9</v>
      </c>
      <c r="AU25" s="15" t="n">
        <v>0.248889</v>
      </c>
      <c r="AV25" s="15" t="n">
        <v>0.25</v>
      </c>
      <c r="AW25" s="15" t="n">
        <v>0.013699</v>
      </c>
      <c r="AX25" s="8" t="n">
        <v>20.9530821121858</v>
      </c>
      <c r="AY25" s="5" t="n">
        <v>174</v>
      </c>
    </row>
    <row r="26" customFormat="false" ht="14.9" hidden="false" customHeight="false" outlineLevel="0" collapsed="false">
      <c r="A26" s="5" t="n">
        <v>485</v>
      </c>
      <c r="B26" s="6" t="s">
        <v>127</v>
      </c>
      <c r="C26" s="7" t="s">
        <v>52</v>
      </c>
      <c r="D26" s="7" t="n">
        <v>0</v>
      </c>
      <c r="E26" s="5" t="n">
        <v>45</v>
      </c>
      <c r="F26" s="8" t="n">
        <v>100</v>
      </c>
      <c r="G26" s="8" t="n">
        <v>18.1438694880668</v>
      </c>
      <c r="H26" s="8" t="n">
        <v>19.9031698538824</v>
      </c>
      <c r="I26" s="8" t="n">
        <v>46.5460294797804</v>
      </c>
      <c r="J26" s="5" t="n">
        <v>1800</v>
      </c>
      <c r="K26" s="9" t="n">
        <v>44452</v>
      </c>
      <c r="L26" s="10" t="n">
        <v>9.5</v>
      </c>
      <c r="M26" s="11" t="n">
        <v>140</v>
      </c>
      <c r="N26" s="12" t="n">
        <f aca="false">LN(M26)</f>
        <v>4.9416424226093</v>
      </c>
      <c r="O26" s="11" t="n">
        <v>23</v>
      </c>
      <c r="P26" s="9" t="n">
        <v>44456</v>
      </c>
      <c r="Q26" s="10" t="n">
        <v>9.9</v>
      </c>
      <c r="R26" s="11" t="n">
        <v>201</v>
      </c>
      <c r="S26" s="12" t="n">
        <f aca="false">LN(R26)</f>
        <v>5.30330490805908</v>
      </c>
      <c r="T26" s="11" t="n">
        <v>11</v>
      </c>
      <c r="U26" s="5" t="n">
        <v>8.92</v>
      </c>
      <c r="V26" s="13"/>
      <c r="W26" s="14" t="n">
        <v>249.965217712587</v>
      </c>
      <c r="X26" s="7" t="s">
        <v>128</v>
      </c>
      <c r="Y26" s="7" t="s">
        <v>129</v>
      </c>
      <c r="Z26" s="7" t="s">
        <v>63</v>
      </c>
      <c r="AA26" s="7" t="n">
        <v>1</v>
      </c>
      <c r="AB26" s="7" t="s">
        <v>52</v>
      </c>
      <c r="AC26" s="5" t="n">
        <v>52</v>
      </c>
      <c r="AD26" s="5" t="n">
        <v>56</v>
      </c>
      <c r="AE26" s="8" t="n">
        <v>18.1438694880668</v>
      </c>
      <c r="AF26" s="8" t="n">
        <v>19.9031698538824</v>
      </c>
      <c r="AG26" s="8" t="n">
        <v>46.5460294797804</v>
      </c>
      <c r="AH26" s="5" t="n">
        <v>1800</v>
      </c>
      <c r="AI26" s="7" t="s">
        <v>56</v>
      </c>
      <c r="AJ26" s="7" t="n">
        <v>2</v>
      </c>
      <c r="AK26" s="5" t="n">
        <v>2</v>
      </c>
      <c r="AL26" s="5" t="n">
        <v>300328</v>
      </c>
      <c r="AM26" s="5" t="n">
        <v>5676203</v>
      </c>
      <c r="AN26" s="14" t="n">
        <v>110</v>
      </c>
      <c r="AO26" s="14" t="n">
        <v>27</v>
      </c>
      <c r="AP26" s="15" t="n">
        <f aca="false">M26/AN26</f>
        <v>1.27272727272727</v>
      </c>
      <c r="AQ26" s="16" t="n">
        <f aca="false">LN(AP26)</f>
        <v>0.241162056816888</v>
      </c>
      <c r="AR26" s="8" t="n">
        <f aca="false">R26/AO26</f>
        <v>7.44444444444444</v>
      </c>
      <c r="AS26" s="15" t="n">
        <f aca="false">LN(AR26)</f>
        <v>2.00746804205475</v>
      </c>
      <c r="AT26" s="5" t="n">
        <v>21</v>
      </c>
      <c r="AU26" s="15" t="n">
        <v>0.25381</v>
      </c>
      <c r="AV26" s="15" t="n">
        <v>0.24</v>
      </c>
      <c r="AW26" s="15" t="n">
        <v>0.04551</v>
      </c>
      <c r="AX26" s="8" t="n">
        <v>21.0120203693029</v>
      </c>
      <c r="AY26" s="5" t="n">
        <v>174</v>
      </c>
    </row>
    <row r="27" customFormat="false" ht="14.9" hidden="false" customHeight="false" outlineLevel="0" collapsed="false">
      <c r="A27" s="5" t="n">
        <v>106</v>
      </c>
      <c r="B27" s="6" t="s">
        <v>130</v>
      </c>
      <c r="C27" s="7" t="s">
        <v>52</v>
      </c>
      <c r="D27" s="7" t="n">
        <v>0</v>
      </c>
      <c r="E27" s="5" t="n">
        <v>52</v>
      </c>
      <c r="F27" s="8" t="n">
        <v>100</v>
      </c>
      <c r="G27" s="8" t="n">
        <v>24.0979571429102</v>
      </c>
      <c r="H27" s="8" t="n">
        <v>24.6538757169051</v>
      </c>
      <c r="I27" s="8" t="n">
        <v>47.4007373901512</v>
      </c>
      <c r="J27" s="5" t="n">
        <v>1040</v>
      </c>
      <c r="K27" s="17" t="n">
        <v>44449</v>
      </c>
      <c r="L27" s="8" t="n">
        <v>14.2</v>
      </c>
      <c r="M27" s="5" t="n">
        <v>212</v>
      </c>
      <c r="N27" s="12" t="n">
        <f aca="false">LN(M27)</f>
        <v>5.35658627467201</v>
      </c>
      <c r="O27" s="5" t="n">
        <v>17</v>
      </c>
      <c r="P27" s="17" t="n">
        <v>44456</v>
      </c>
      <c r="Q27" s="8" t="n">
        <v>14.6</v>
      </c>
      <c r="R27" s="5" t="n">
        <v>514</v>
      </c>
      <c r="S27" s="12" t="n">
        <f aca="false">LN(R27)</f>
        <v>6.24222326545517</v>
      </c>
      <c r="T27" s="5" t="n">
        <v>9</v>
      </c>
      <c r="U27" s="5" t="n">
        <v>12.62</v>
      </c>
      <c r="V27" s="13"/>
      <c r="W27" s="14" t="n">
        <v>500.343869018386</v>
      </c>
      <c r="X27" s="7" t="s">
        <v>131</v>
      </c>
      <c r="Y27" s="7" t="s">
        <v>132</v>
      </c>
      <c r="Z27" s="7" t="s">
        <v>63</v>
      </c>
      <c r="AA27" s="7" t="n">
        <v>1</v>
      </c>
      <c r="AB27" s="7" t="s">
        <v>52</v>
      </c>
      <c r="AC27" s="5" t="n">
        <v>59</v>
      </c>
      <c r="AD27" s="5" t="n">
        <v>71</v>
      </c>
      <c r="AE27" s="8" t="n">
        <v>24.0979571429102</v>
      </c>
      <c r="AF27" s="8" t="n">
        <v>24.6538757169051</v>
      </c>
      <c r="AG27" s="8" t="n">
        <v>47.4007373901512</v>
      </c>
      <c r="AH27" s="5" t="n">
        <v>1040</v>
      </c>
      <c r="AI27" s="7" t="s">
        <v>56</v>
      </c>
      <c r="AJ27" s="7" t="n">
        <v>2</v>
      </c>
      <c r="AK27" s="5" t="n">
        <v>2</v>
      </c>
      <c r="AL27" s="5" t="n">
        <v>305402</v>
      </c>
      <c r="AM27" s="5" t="n">
        <v>5677062</v>
      </c>
      <c r="AN27" s="14" t="n">
        <v>130</v>
      </c>
      <c r="AO27" s="14" t="n">
        <v>24.289719712</v>
      </c>
      <c r="AP27" s="15" t="n">
        <f aca="false">M27/AN27</f>
        <v>1.63076923076923</v>
      </c>
      <c r="AQ27" s="16" t="n">
        <f aca="false">LN(AP27)</f>
        <v>0.48905182421643</v>
      </c>
      <c r="AR27" s="14" t="n">
        <f aca="false">R27/AO27</f>
        <v>21.1612157774742</v>
      </c>
      <c r="AS27" s="15" t="n">
        <f aca="false">LN(AR27)</f>
        <v>3.05217006174191</v>
      </c>
      <c r="AT27" s="5" t="n">
        <v>21</v>
      </c>
      <c r="AU27" s="15" t="n">
        <v>0.228095</v>
      </c>
      <c r="AV27" s="15" t="n">
        <v>0.21</v>
      </c>
      <c r="AW27" s="15" t="n">
        <v>0.035806</v>
      </c>
      <c r="AX27" s="8" t="n">
        <v>21.3135900542353</v>
      </c>
      <c r="AY27" s="5" t="n">
        <v>160</v>
      </c>
    </row>
    <row r="28" customFormat="false" ht="14.9" hidden="false" customHeight="false" outlineLevel="0" collapsed="false">
      <c r="A28" s="5" t="n">
        <v>128</v>
      </c>
      <c r="B28" s="6" t="s">
        <v>133</v>
      </c>
      <c r="C28" s="7" t="s">
        <v>52</v>
      </c>
      <c r="D28" s="7" t="n">
        <v>0</v>
      </c>
      <c r="E28" s="5" t="n">
        <v>20</v>
      </c>
      <c r="F28" s="8" t="n">
        <v>100</v>
      </c>
      <c r="G28" s="8" t="n">
        <v>15.1013244452266</v>
      </c>
      <c r="H28" s="8" t="n">
        <v>12.056399410313</v>
      </c>
      <c r="I28" s="8" t="n">
        <v>35.8460967758161</v>
      </c>
      <c r="J28" s="5" t="n">
        <v>2000</v>
      </c>
      <c r="K28" s="17" t="n">
        <v>44449</v>
      </c>
      <c r="L28" s="8" t="n">
        <v>6.3</v>
      </c>
      <c r="M28" s="5" t="n">
        <v>30</v>
      </c>
      <c r="N28" s="12" t="n">
        <f aca="false">LN(M28)</f>
        <v>3.40119738166216</v>
      </c>
      <c r="O28" s="5" t="n">
        <v>47</v>
      </c>
      <c r="P28" s="17" t="n">
        <v>44456</v>
      </c>
      <c r="Q28" s="8" t="n">
        <v>6.6</v>
      </c>
      <c r="R28" s="5" t="n">
        <v>164</v>
      </c>
      <c r="S28" s="12" t="n">
        <f aca="false">LN(R28)</f>
        <v>5.0998664278242</v>
      </c>
      <c r="T28" s="5" t="n">
        <v>23</v>
      </c>
      <c r="U28" s="5" t="n">
        <v>5.64</v>
      </c>
      <c r="V28" s="13"/>
      <c r="W28" s="14" t="n">
        <v>99.9328056736299</v>
      </c>
      <c r="X28" s="7" t="s">
        <v>134</v>
      </c>
      <c r="Y28" s="7" t="s">
        <v>135</v>
      </c>
      <c r="Z28" s="7" t="s">
        <v>63</v>
      </c>
      <c r="AA28" s="7" t="n">
        <v>1</v>
      </c>
      <c r="AB28" s="7" t="s">
        <v>52</v>
      </c>
      <c r="AC28" s="5" t="n">
        <v>21</v>
      </c>
      <c r="AD28" s="5" t="n">
        <v>27</v>
      </c>
      <c r="AE28" s="8" t="n">
        <v>15.1013244452266</v>
      </c>
      <c r="AF28" s="8" t="n">
        <v>12.056399410313</v>
      </c>
      <c r="AG28" s="8" t="n">
        <v>35.8460967758161</v>
      </c>
      <c r="AH28" s="5" t="n">
        <v>2000</v>
      </c>
      <c r="AI28" s="7" t="s">
        <v>56</v>
      </c>
      <c r="AJ28" s="7" t="n">
        <v>2</v>
      </c>
      <c r="AK28" s="5" t="n">
        <v>2</v>
      </c>
      <c r="AL28" s="5" t="n">
        <v>309996</v>
      </c>
      <c r="AM28" s="5" t="n">
        <v>5676510</v>
      </c>
      <c r="AN28" s="14" t="n">
        <v>130</v>
      </c>
      <c r="AO28" s="14" t="n">
        <v>25.726584924</v>
      </c>
      <c r="AP28" s="15" t="n">
        <f aca="false">M28/AN28</f>
        <v>0.230769230769231</v>
      </c>
      <c r="AQ28" s="16" t="n">
        <f aca="false">LN(AP28)</f>
        <v>-1.46633706879343</v>
      </c>
      <c r="AR28" s="8" t="n">
        <f aca="false">R28/AO28</f>
        <v>6.37472872845266</v>
      </c>
      <c r="AS28" s="15" t="n">
        <f aca="false">LN(AR28)</f>
        <v>1.85234153773953</v>
      </c>
      <c r="AT28" s="5" t="n">
        <v>25</v>
      </c>
      <c r="AU28" s="15" t="n">
        <v>0.1536</v>
      </c>
      <c r="AV28" s="15" t="n">
        <v>0.15</v>
      </c>
      <c r="AW28" s="15" t="n">
        <v>0.011271</v>
      </c>
      <c r="AX28" s="8" t="n">
        <v>23.7593475710088</v>
      </c>
      <c r="AY28" s="5" t="n">
        <v>150</v>
      </c>
    </row>
    <row r="29" customFormat="false" ht="14.9" hidden="false" customHeight="false" outlineLevel="0" collapsed="false">
      <c r="A29" s="5" t="n">
        <v>132</v>
      </c>
      <c r="B29" s="6" t="s">
        <v>136</v>
      </c>
      <c r="C29" s="7" t="s">
        <v>52</v>
      </c>
      <c r="D29" s="7" t="n">
        <v>0</v>
      </c>
      <c r="E29" s="5" t="n">
        <v>33</v>
      </c>
      <c r="F29" s="8" t="n">
        <v>100</v>
      </c>
      <c r="G29" s="8" t="n">
        <v>22.2642531807597</v>
      </c>
      <c r="H29" s="8" t="n">
        <v>22.4506597423754</v>
      </c>
      <c r="I29" s="8" t="n">
        <v>51.3973234933339</v>
      </c>
      <c r="J29" s="5" t="n">
        <v>1320</v>
      </c>
      <c r="K29" s="9" t="n">
        <v>44452</v>
      </c>
      <c r="L29" s="10" t="n">
        <v>11.7</v>
      </c>
      <c r="M29" s="11" t="n">
        <v>110</v>
      </c>
      <c r="N29" s="12" t="n">
        <f aca="false">LN(M29)</f>
        <v>4.70048036579242</v>
      </c>
      <c r="O29" s="11" t="n">
        <v>26</v>
      </c>
      <c r="P29" s="9" t="n">
        <v>44456</v>
      </c>
      <c r="Q29" s="10" t="n">
        <v>12.1</v>
      </c>
      <c r="R29" s="11" t="n">
        <v>430</v>
      </c>
      <c r="S29" s="12" t="n">
        <f aca="false">LN(R29)</f>
        <v>6.06378520868761</v>
      </c>
      <c r="T29" s="11" t="n">
        <v>10</v>
      </c>
      <c r="U29" s="5" t="n">
        <v>8.92</v>
      </c>
      <c r="V29" s="13"/>
      <c r="W29" s="14" t="n">
        <v>249.965217712587</v>
      </c>
      <c r="X29" s="7" t="s">
        <v>137</v>
      </c>
      <c r="Y29" s="7" t="s">
        <v>138</v>
      </c>
      <c r="Z29" s="7" t="s">
        <v>63</v>
      </c>
      <c r="AA29" s="7" t="n">
        <v>1</v>
      </c>
      <c r="AB29" s="7" t="s">
        <v>52</v>
      </c>
      <c r="AC29" s="5" t="n">
        <v>36</v>
      </c>
      <c r="AD29" s="5" t="n">
        <v>70</v>
      </c>
      <c r="AE29" s="8" t="n">
        <v>22.2642531807597</v>
      </c>
      <c r="AF29" s="8" t="n">
        <v>22.4506597423754</v>
      </c>
      <c r="AG29" s="8" t="n">
        <v>51.3973234933339</v>
      </c>
      <c r="AH29" s="5" t="n">
        <v>1320</v>
      </c>
      <c r="AI29" s="7" t="s">
        <v>56</v>
      </c>
      <c r="AJ29" s="7" t="n">
        <v>2</v>
      </c>
      <c r="AK29" s="5" t="n">
        <v>2</v>
      </c>
      <c r="AL29" s="5" t="n">
        <v>309902</v>
      </c>
      <c r="AM29" s="5" t="n">
        <v>5676605</v>
      </c>
      <c r="AN29" s="14" t="n">
        <v>120</v>
      </c>
      <c r="AO29" s="14" t="n">
        <v>24.685283192</v>
      </c>
      <c r="AP29" s="15" t="n">
        <f aca="false">M29/AN29</f>
        <v>0.916666666666667</v>
      </c>
      <c r="AQ29" s="16" t="n">
        <f aca="false">LN(AP29)</f>
        <v>-0.0870113769896298</v>
      </c>
      <c r="AR29" s="14" t="n">
        <f aca="false">R29/AO29</f>
        <v>17.4192856794673</v>
      </c>
      <c r="AS29" s="15" t="n">
        <f aca="false">LN(AR29)</f>
        <v>2.85757796481249</v>
      </c>
      <c r="AT29" s="5" t="n">
        <v>20</v>
      </c>
      <c r="AU29" s="15" t="n">
        <v>0.2725</v>
      </c>
      <c r="AV29" s="15" t="n">
        <v>0.275</v>
      </c>
      <c r="AW29" s="15" t="n">
        <v>0.017571</v>
      </c>
      <c r="AX29" s="8" t="n">
        <v>23.6301421070632</v>
      </c>
      <c r="AY29" s="5" t="n">
        <v>150</v>
      </c>
    </row>
    <row r="30" customFormat="false" ht="14.9" hidden="false" customHeight="false" outlineLevel="0" collapsed="false">
      <c r="A30" s="5" t="n">
        <v>140</v>
      </c>
      <c r="B30" s="6" t="s">
        <v>139</v>
      </c>
      <c r="C30" s="7" t="s">
        <v>52</v>
      </c>
      <c r="D30" s="7" t="n">
        <v>0</v>
      </c>
      <c r="E30" s="5" t="n">
        <v>36</v>
      </c>
      <c r="F30" s="8" t="n">
        <v>90.7728049796169</v>
      </c>
      <c r="G30" s="8" t="n">
        <v>23.9837908225998</v>
      </c>
      <c r="H30" s="8" t="n">
        <v>26.2503491990717</v>
      </c>
      <c r="I30" s="8" t="n">
        <v>65.0651531299644</v>
      </c>
      <c r="J30" s="5" t="n">
        <v>1440</v>
      </c>
      <c r="K30" s="9" t="n">
        <v>44445</v>
      </c>
      <c r="L30" s="10" t="n">
        <v>10.2</v>
      </c>
      <c r="M30" s="11" t="n">
        <v>1260</v>
      </c>
      <c r="N30" s="12" t="n">
        <f aca="false">LN(M30)</f>
        <v>7.13886699994552</v>
      </c>
      <c r="O30" s="11" t="n">
        <v>9</v>
      </c>
      <c r="P30" s="9" t="n">
        <v>44452</v>
      </c>
      <c r="Q30" s="10" t="n">
        <v>10.5</v>
      </c>
      <c r="R30" s="11" t="n">
        <v>1730</v>
      </c>
      <c r="S30" s="12" t="n">
        <f aca="false">LN(R30)</f>
        <v>7.45587668749182</v>
      </c>
      <c r="T30" s="11" t="n">
        <v>8</v>
      </c>
      <c r="U30" s="5" t="n">
        <v>8.92</v>
      </c>
      <c r="V30" s="13"/>
      <c r="W30" s="14" t="n">
        <v>249.965217712587</v>
      </c>
      <c r="X30" s="7" t="s">
        <v>140</v>
      </c>
      <c r="Y30" s="7" t="s">
        <v>141</v>
      </c>
      <c r="Z30" s="7" t="s">
        <v>63</v>
      </c>
      <c r="AA30" s="7" t="n">
        <v>1</v>
      </c>
      <c r="AB30" s="7" t="s">
        <v>52</v>
      </c>
      <c r="AC30" s="5" t="n">
        <v>42</v>
      </c>
      <c r="AD30" s="5" t="n">
        <v>65</v>
      </c>
      <c r="AE30" s="8" t="n">
        <v>23.8814781787058</v>
      </c>
      <c r="AF30" s="8" t="n">
        <v>26.2468439478307</v>
      </c>
      <c r="AG30" s="8" t="n">
        <v>71.679125862173</v>
      </c>
      <c r="AH30" s="5" t="n">
        <v>1600</v>
      </c>
      <c r="AI30" s="7" t="s">
        <v>56</v>
      </c>
      <c r="AJ30" s="7" t="n">
        <v>2</v>
      </c>
      <c r="AK30" s="5" t="n">
        <v>2</v>
      </c>
      <c r="AL30" s="5" t="n">
        <v>265960</v>
      </c>
      <c r="AM30" s="5" t="n">
        <v>5688015</v>
      </c>
      <c r="AN30" s="14" t="n">
        <v>9600</v>
      </c>
      <c r="AO30" s="14" t="n">
        <v>200</v>
      </c>
      <c r="AP30" s="15" t="n">
        <f aca="false">M30/AN30</f>
        <v>0.13125</v>
      </c>
      <c r="AQ30" s="16" t="n">
        <f aca="false">LN(AP30)</f>
        <v>-2.0306513775104</v>
      </c>
      <c r="AR30" s="8" t="n">
        <f aca="false">R30/AO30</f>
        <v>8.65</v>
      </c>
      <c r="AS30" s="15" t="n">
        <f aca="false">LN(AR30)</f>
        <v>2.15755932094379</v>
      </c>
      <c r="AT30" s="5" t="n">
        <v>23</v>
      </c>
      <c r="AU30" s="15" t="n">
        <v>9.69087</v>
      </c>
      <c r="AV30" s="15" t="n">
        <v>9.46</v>
      </c>
      <c r="AW30" s="15" t="n">
        <v>1.472743</v>
      </c>
      <c r="AX30" s="8" t="n">
        <v>33.4400436602586</v>
      </c>
      <c r="AY30" s="5" t="n">
        <v>254</v>
      </c>
    </row>
    <row r="31" customFormat="false" ht="14.9" hidden="false" customHeight="false" outlineLevel="0" collapsed="false">
      <c r="A31" s="5" t="n">
        <v>179</v>
      </c>
      <c r="B31" s="6" t="s">
        <v>142</v>
      </c>
      <c r="C31" s="7" t="s">
        <v>52</v>
      </c>
      <c r="D31" s="7" t="n">
        <v>0</v>
      </c>
      <c r="E31" s="5" t="n">
        <v>22</v>
      </c>
      <c r="F31" s="8" t="n">
        <v>100</v>
      </c>
      <c r="G31" s="8" t="n">
        <v>29.567334555676</v>
      </c>
      <c r="H31" s="8" t="n">
        <v>25.0778485345487</v>
      </c>
      <c r="I31" s="8" t="n">
        <v>60.4306591727161</v>
      </c>
      <c r="J31" s="5" t="n">
        <v>880</v>
      </c>
      <c r="K31" s="17" t="n">
        <v>44449</v>
      </c>
      <c r="L31" s="8" t="n">
        <v>14.5</v>
      </c>
      <c r="M31" s="5" t="n">
        <v>31</v>
      </c>
      <c r="N31" s="12" t="n">
        <f aca="false">LN(M31)</f>
        <v>3.43398720448515</v>
      </c>
      <c r="O31" s="5" t="n">
        <v>40</v>
      </c>
      <c r="P31" s="17" t="n">
        <v>44456</v>
      </c>
      <c r="Q31" s="8" t="n">
        <v>14.5</v>
      </c>
      <c r="R31" s="5" t="n">
        <v>138</v>
      </c>
      <c r="S31" s="12" t="n">
        <f aca="false">LN(R31)</f>
        <v>4.92725368515721</v>
      </c>
      <c r="T31" s="5" t="n">
        <v>10</v>
      </c>
      <c r="U31" s="5" t="n">
        <v>8.92</v>
      </c>
      <c r="V31" s="13"/>
      <c r="W31" s="14" t="n">
        <v>249.965217712587</v>
      </c>
      <c r="X31" s="7" t="s">
        <v>143</v>
      </c>
      <c r="Y31" s="7" t="s">
        <v>144</v>
      </c>
      <c r="Z31" s="7" t="s">
        <v>63</v>
      </c>
      <c r="AA31" s="7" t="n">
        <v>1</v>
      </c>
      <c r="AB31" s="7" t="s">
        <v>52</v>
      </c>
      <c r="AC31" s="5" t="n">
        <v>26</v>
      </c>
      <c r="AD31" s="5" t="n">
        <v>70</v>
      </c>
      <c r="AE31" s="8" t="n">
        <v>29.567334555676</v>
      </c>
      <c r="AF31" s="8" t="n">
        <v>25.0778485345487</v>
      </c>
      <c r="AG31" s="8" t="n">
        <v>60.4306591727161</v>
      </c>
      <c r="AH31" s="5" t="n">
        <v>880</v>
      </c>
      <c r="AI31" s="7" t="s">
        <v>56</v>
      </c>
      <c r="AJ31" s="7" t="n">
        <v>2</v>
      </c>
      <c r="AK31" s="5" t="n">
        <v>2</v>
      </c>
      <c r="AL31" s="5" t="n">
        <v>271088</v>
      </c>
      <c r="AM31" s="5" t="n">
        <v>5687129</v>
      </c>
      <c r="AN31" s="14" t="n">
        <v>71</v>
      </c>
      <c r="AO31" s="14" t="n">
        <v>5</v>
      </c>
      <c r="AP31" s="15" t="n">
        <f aca="false">M31/AN31</f>
        <v>0.436619718309859</v>
      </c>
      <c r="AQ31" s="16" t="n">
        <f aca="false">LN(AP31)</f>
        <v>-0.828692672556169</v>
      </c>
      <c r="AR31" s="14" t="n">
        <f aca="false">R31/AO31</f>
        <v>27.6</v>
      </c>
      <c r="AS31" s="15" t="n">
        <f aca="false">LN(AR31)</f>
        <v>3.3178157727231</v>
      </c>
      <c r="AT31" s="5" t="n">
        <v>23</v>
      </c>
      <c r="AU31" s="15" t="n">
        <v>0.155217</v>
      </c>
      <c r="AV31" s="15" t="n">
        <v>0.15</v>
      </c>
      <c r="AW31" s="15" t="n">
        <v>0.009722</v>
      </c>
      <c r="AX31" s="8" t="n">
        <v>28.8333088631881</v>
      </c>
      <c r="AY31" s="5" t="n">
        <v>250</v>
      </c>
    </row>
    <row r="32" customFormat="false" ht="14.9" hidden="false" customHeight="false" outlineLevel="0" collapsed="false">
      <c r="A32" s="5" t="n">
        <v>200</v>
      </c>
      <c r="B32" s="6" t="s">
        <v>145</v>
      </c>
      <c r="C32" s="7" t="s">
        <v>52</v>
      </c>
      <c r="D32" s="7" t="n">
        <v>0</v>
      </c>
      <c r="E32" s="5" t="n">
        <v>52</v>
      </c>
      <c r="F32" s="8" t="n">
        <v>100</v>
      </c>
      <c r="G32" s="8" t="n">
        <v>17.5109855629149</v>
      </c>
      <c r="H32" s="8" t="n">
        <v>20.7868416695041</v>
      </c>
      <c r="I32" s="8" t="n">
        <v>50.0996651853043</v>
      </c>
      <c r="J32" s="5" t="n">
        <v>2080</v>
      </c>
      <c r="K32" s="9" t="n">
        <v>44445</v>
      </c>
      <c r="L32" s="10" t="n">
        <v>10</v>
      </c>
      <c r="M32" s="11" t="n">
        <v>29</v>
      </c>
      <c r="N32" s="12" t="n">
        <f aca="false">LN(M32)</f>
        <v>3.36729582998647</v>
      </c>
      <c r="O32" s="11" t="n">
        <v>48</v>
      </c>
      <c r="P32" s="9" t="n">
        <v>44452</v>
      </c>
      <c r="Q32" s="10" t="n">
        <v>10.1</v>
      </c>
      <c r="R32" s="11" t="n">
        <v>147</v>
      </c>
      <c r="S32" s="12" t="n">
        <f aca="false">LN(R32)</f>
        <v>4.99043258677874</v>
      </c>
      <c r="T32" s="11" t="n">
        <v>13</v>
      </c>
      <c r="U32" s="5" t="n">
        <v>8.92</v>
      </c>
      <c r="V32" s="19"/>
      <c r="W32" s="14" t="n">
        <v>249.965217712587</v>
      </c>
      <c r="X32" s="7" t="s">
        <v>146</v>
      </c>
      <c r="Y32" s="7" t="s">
        <v>147</v>
      </c>
      <c r="Z32" s="7" t="s">
        <v>63</v>
      </c>
      <c r="AA32" s="7" t="n">
        <v>1</v>
      </c>
      <c r="AB32" s="7" t="s">
        <v>52</v>
      </c>
      <c r="AC32" s="5" t="n">
        <v>67</v>
      </c>
      <c r="AD32" s="5" t="n">
        <v>58</v>
      </c>
      <c r="AE32" s="8" t="n">
        <v>17.5109855629149</v>
      </c>
      <c r="AF32" s="8" t="n">
        <v>20.7868416695041</v>
      </c>
      <c r="AG32" s="8" t="n">
        <v>50.0996651853043</v>
      </c>
      <c r="AH32" s="5" t="n">
        <v>2080</v>
      </c>
      <c r="AI32" s="7" t="s">
        <v>56</v>
      </c>
      <c r="AJ32" s="7" t="n">
        <v>2</v>
      </c>
      <c r="AK32" s="5" t="n">
        <v>2</v>
      </c>
      <c r="AL32" s="5" t="n">
        <v>278982</v>
      </c>
      <c r="AM32" s="5" t="n">
        <v>5686810</v>
      </c>
      <c r="AN32" s="14" t="n">
        <v>64</v>
      </c>
      <c r="AO32" s="14" t="n">
        <v>23</v>
      </c>
      <c r="AP32" s="15" t="n">
        <f aca="false">M32/AN32</f>
        <v>0.453125</v>
      </c>
      <c r="AQ32" s="16" t="n">
        <f aca="false">LN(AP32)</f>
        <v>-0.791587253373198</v>
      </c>
      <c r="AR32" s="8" t="n">
        <f aca="false">R32/AO32</f>
        <v>6.39130434782609</v>
      </c>
      <c r="AS32" s="15" t="n">
        <f aca="false">LN(AR32)</f>
        <v>1.85493837084959</v>
      </c>
      <c r="AT32" s="5" t="n">
        <v>14</v>
      </c>
      <c r="AU32" s="15" t="n">
        <v>0.182143</v>
      </c>
      <c r="AV32" s="15" t="n">
        <v>0.18</v>
      </c>
      <c r="AW32" s="15" t="n">
        <v>0.010127</v>
      </c>
      <c r="AX32" s="8" t="n">
        <v>21.748799530089</v>
      </c>
      <c r="AY32" s="5" t="n">
        <v>242</v>
      </c>
    </row>
    <row r="33" customFormat="false" ht="14.9" hidden="false" customHeight="false" outlineLevel="0" collapsed="false">
      <c r="A33" s="5" t="n">
        <v>207</v>
      </c>
      <c r="B33" s="6" t="s">
        <v>148</v>
      </c>
      <c r="C33" s="7" t="s">
        <v>52</v>
      </c>
      <c r="D33" s="7" t="n">
        <v>0</v>
      </c>
      <c r="E33" s="5" t="n">
        <v>27</v>
      </c>
      <c r="F33" s="8" t="n">
        <v>100</v>
      </c>
      <c r="G33" s="8" t="n">
        <v>23.1212584560744</v>
      </c>
      <c r="H33" s="8" t="n">
        <v>25.6305703979464</v>
      </c>
      <c r="I33" s="8" t="n">
        <v>45.3520581552012</v>
      </c>
      <c r="J33" s="5" t="n">
        <v>1080</v>
      </c>
      <c r="K33" s="9" t="n">
        <v>44452</v>
      </c>
      <c r="L33" s="10" t="n">
        <v>11.4</v>
      </c>
      <c r="M33" s="11" t="n">
        <v>73</v>
      </c>
      <c r="N33" s="12" t="n">
        <f aca="false">LN(M33)</f>
        <v>4.29045944114839</v>
      </c>
      <c r="O33" s="11" t="n">
        <v>24</v>
      </c>
      <c r="P33" s="9" t="n">
        <v>44456</v>
      </c>
      <c r="Q33" s="10" t="n">
        <v>12</v>
      </c>
      <c r="R33" s="11" t="n">
        <v>40</v>
      </c>
      <c r="S33" s="12" t="n">
        <f aca="false">LN(R33)</f>
        <v>3.68887945411394</v>
      </c>
      <c r="T33" s="11" t="n">
        <v>35</v>
      </c>
      <c r="U33" s="5" t="n">
        <v>8.92</v>
      </c>
      <c r="V33" s="19"/>
      <c r="W33" s="14" t="n">
        <v>249.965217712587</v>
      </c>
      <c r="X33" s="7" t="s">
        <v>149</v>
      </c>
      <c r="Y33" s="7" t="s">
        <v>150</v>
      </c>
      <c r="Z33" s="7" t="s">
        <v>63</v>
      </c>
      <c r="AA33" s="7" t="n">
        <v>1</v>
      </c>
      <c r="AB33" s="7" t="s">
        <v>52</v>
      </c>
      <c r="AC33" s="5" t="n">
        <v>27</v>
      </c>
      <c r="AD33" s="5" t="n">
        <v>68</v>
      </c>
      <c r="AE33" s="8" t="n">
        <v>23.1212584560744</v>
      </c>
      <c r="AF33" s="8" t="n">
        <v>25.6305703979464</v>
      </c>
      <c r="AG33" s="8" t="n">
        <v>45.3520581552012</v>
      </c>
      <c r="AH33" s="5" t="n">
        <v>1080</v>
      </c>
      <c r="AI33" s="7" t="s">
        <v>56</v>
      </c>
      <c r="AJ33" s="7" t="n">
        <v>2</v>
      </c>
      <c r="AK33" s="5" t="n">
        <v>2</v>
      </c>
      <c r="AL33" s="5" t="n">
        <v>251281</v>
      </c>
      <c r="AM33" s="5" t="n">
        <v>5676605</v>
      </c>
      <c r="AN33" s="14" t="n">
        <v>138</v>
      </c>
      <c r="AO33" s="14" t="n">
        <v>1</v>
      </c>
      <c r="AP33" s="15" t="n">
        <f aca="false">M33/AN33</f>
        <v>0.528985507246377</v>
      </c>
      <c r="AQ33" s="16" t="n">
        <f aca="false">LN(AP33)</f>
        <v>-0.636794244008814</v>
      </c>
      <c r="AR33" s="14" t="n">
        <f aca="false">R33/AO33</f>
        <v>40</v>
      </c>
      <c r="AS33" s="15" t="n">
        <f aca="false">LN(AR33)</f>
        <v>3.68887945411394</v>
      </c>
      <c r="AT33" s="5" t="n">
        <v>15</v>
      </c>
      <c r="AU33" s="15" t="n">
        <v>0.222667</v>
      </c>
      <c r="AV33" s="15" t="n">
        <v>0.22</v>
      </c>
      <c r="AW33" s="15" t="n">
        <v>0.018427</v>
      </c>
      <c r="AX33" s="8" t="n">
        <v>51.1472319583377</v>
      </c>
      <c r="AY33" s="5" t="n">
        <v>246</v>
      </c>
    </row>
    <row r="34" customFormat="false" ht="14.9" hidden="false" customHeight="false" outlineLevel="0" collapsed="false">
      <c r="A34" s="5" t="n">
        <v>210</v>
      </c>
      <c r="B34" s="6" t="s">
        <v>151</v>
      </c>
      <c r="C34" s="7" t="s">
        <v>52</v>
      </c>
      <c r="D34" s="7" t="n">
        <v>0</v>
      </c>
      <c r="E34" s="5" t="n">
        <v>40</v>
      </c>
      <c r="F34" s="8" t="n">
        <v>100</v>
      </c>
      <c r="G34" s="8" t="n">
        <v>25.8993243155106</v>
      </c>
      <c r="H34" s="8" t="n">
        <v>27.0251434010617</v>
      </c>
      <c r="I34" s="8" t="n">
        <v>42.1170707326936</v>
      </c>
      <c r="J34" s="5" t="n">
        <v>800</v>
      </c>
      <c r="K34" s="9" t="n">
        <v>44452</v>
      </c>
      <c r="L34" s="10" t="n">
        <v>12.9</v>
      </c>
      <c r="M34" s="11" t="n">
        <v>44</v>
      </c>
      <c r="N34" s="12" t="n">
        <f aca="false">LN(M34)</f>
        <v>3.78418963391826</v>
      </c>
      <c r="O34" s="11" t="n">
        <v>37</v>
      </c>
      <c r="P34" s="9" t="n">
        <v>44456</v>
      </c>
      <c r="Q34" s="10" t="n">
        <v>13.2</v>
      </c>
      <c r="R34" s="11" t="n">
        <v>11.1</v>
      </c>
      <c r="S34" s="12" t="n">
        <f aca="false">LN(R34)</f>
        <v>2.40694510831829</v>
      </c>
      <c r="T34" s="11" t="n">
        <v>68</v>
      </c>
      <c r="U34" s="5" t="n">
        <v>12.62</v>
      </c>
      <c r="V34" s="19"/>
      <c r="W34" s="14" t="n">
        <v>500.343869018386</v>
      </c>
      <c r="X34" s="7" t="s">
        <v>152</v>
      </c>
      <c r="Y34" s="7" t="s">
        <v>153</v>
      </c>
      <c r="Z34" s="7" t="s">
        <v>63</v>
      </c>
      <c r="AA34" s="7" t="n">
        <v>1</v>
      </c>
      <c r="AB34" s="7" t="s">
        <v>52</v>
      </c>
      <c r="AC34" s="5" t="n">
        <v>43</v>
      </c>
      <c r="AD34" s="5" t="n">
        <v>68</v>
      </c>
      <c r="AE34" s="8" t="n">
        <v>25.8993243155106</v>
      </c>
      <c r="AF34" s="8" t="n">
        <v>27.0251434010617</v>
      </c>
      <c r="AG34" s="8" t="n">
        <v>42.1170707326936</v>
      </c>
      <c r="AH34" s="5" t="n">
        <v>800</v>
      </c>
      <c r="AI34" s="7" t="s">
        <v>56</v>
      </c>
      <c r="AJ34" s="7" t="n">
        <v>2</v>
      </c>
      <c r="AK34" s="5" t="n">
        <v>2</v>
      </c>
      <c r="AL34" s="5" t="n">
        <v>251242</v>
      </c>
      <c r="AM34" s="5" t="n">
        <v>5676651</v>
      </c>
      <c r="AN34" s="14" t="n">
        <v>103</v>
      </c>
      <c r="AO34" s="14" t="n">
        <v>1</v>
      </c>
      <c r="AP34" s="15" t="n">
        <f aca="false">M34/AN34</f>
        <v>0.427184466019417</v>
      </c>
      <c r="AQ34" s="16" t="n">
        <f aca="false">LN(AP34)</f>
        <v>-0.850539354311375</v>
      </c>
      <c r="AR34" s="14" t="n">
        <f aca="false">R34/AO34</f>
        <v>11.1</v>
      </c>
      <c r="AS34" s="15" t="n">
        <f aca="false">LN(AR34)</f>
        <v>2.40694510831829</v>
      </c>
      <c r="AT34" s="5" t="n">
        <v>15</v>
      </c>
      <c r="AU34" s="15" t="n">
        <v>0.218667</v>
      </c>
      <c r="AV34" s="15" t="n">
        <v>0.22</v>
      </c>
      <c r="AW34" s="15" t="n">
        <v>0.01147</v>
      </c>
      <c r="AX34" s="8" t="n">
        <v>51.1645629317793</v>
      </c>
      <c r="AY34" s="5" t="n">
        <v>246</v>
      </c>
    </row>
    <row r="35" customFormat="false" ht="14.9" hidden="false" customHeight="false" outlineLevel="0" collapsed="false">
      <c r="A35" s="5" t="n">
        <v>844</v>
      </c>
      <c r="B35" s="6" t="s">
        <v>154</v>
      </c>
      <c r="C35" s="7" t="s">
        <v>52</v>
      </c>
      <c r="D35" s="7" t="n">
        <v>0</v>
      </c>
      <c r="E35" s="5" t="n">
        <v>28</v>
      </c>
      <c r="F35" s="8" t="n">
        <v>99.8728695721267</v>
      </c>
      <c r="G35" s="8" t="n">
        <v>42.3750263379606</v>
      </c>
      <c r="H35" s="8" t="n">
        <v>29.9805626440337</v>
      </c>
      <c r="I35" s="8" t="n">
        <v>39.4937435902592</v>
      </c>
      <c r="J35" s="5" t="n">
        <v>280</v>
      </c>
      <c r="K35" s="9" t="n">
        <v>44453</v>
      </c>
      <c r="L35" s="10" t="n">
        <v>10.8</v>
      </c>
      <c r="M35" s="11" t="n">
        <v>1370</v>
      </c>
      <c r="N35" s="12" t="n">
        <f aca="false">LN(M35)</f>
        <v>7.22256601882217</v>
      </c>
      <c r="O35" s="11" t="n">
        <v>8</v>
      </c>
      <c r="P35" s="9" t="n">
        <v>44456</v>
      </c>
      <c r="Q35" s="10" t="n">
        <v>11</v>
      </c>
      <c r="R35" s="11" t="n">
        <v>78</v>
      </c>
      <c r="S35" s="12" t="n">
        <f aca="false">LN(R35)</f>
        <v>4.35670882668959</v>
      </c>
      <c r="T35" s="11" t="n">
        <v>16</v>
      </c>
      <c r="U35" s="5" t="n">
        <v>17.84</v>
      </c>
      <c r="W35" s="14" t="n">
        <v>999.860870850348</v>
      </c>
      <c r="X35" s="7" t="s">
        <v>155</v>
      </c>
      <c r="Y35" s="7" t="s">
        <v>156</v>
      </c>
      <c r="Z35" s="7" t="s">
        <v>55</v>
      </c>
      <c r="AA35" s="7" t="n">
        <v>0</v>
      </c>
      <c r="AB35" s="7" t="s">
        <v>52</v>
      </c>
      <c r="AC35" s="5" t="n">
        <v>33</v>
      </c>
      <c r="AD35" s="5" t="n">
        <v>138</v>
      </c>
      <c r="AE35" s="8" t="n">
        <v>41.6645056910886</v>
      </c>
      <c r="AF35" s="8" t="n">
        <v>29.9558386775624</v>
      </c>
      <c r="AG35" s="8" t="n">
        <v>39.5440160670836</v>
      </c>
      <c r="AH35" s="5" t="n">
        <v>290</v>
      </c>
      <c r="AI35" s="7" t="s">
        <v>56</v>
      </c>
      <c r="AJ35" s="7" t="n">
        <v>2</v>
      </c>
      <c r="AK35" s="5" t="n">
        <v>2</v>
      </c>
      <c r="AL35" s="5" t="n">
        <v>245760</v>
      </c>
      <c r="AM35" s="5" t="n">
        <v>5674759</v>
      </c>
      <c r="AN35" s="14" t="n">
        <v>2100</v>
      </c>
      <c r="AO35" s="14" t="n">
        <v>15</v>
      </c>
      <c r="AP35" s="15" t="n">
        <f aca="false">M35/AN35</f>
        <v>0.652380952380952</v>
      </c>
      <c r="AQ35" s="16" t="n">
        <f aca="false">LN(AP35)</f>
        <v>-0.427126604889344</v>
      </c>
      <c r="AR35" s="8" t="n">
        <f aca="false">R35/AO35</f>
        <v>5.2</v>
      </c>
      <c r="AS35" s="15" t="n">
        <f aca="false">LN(AR35)</f>
        <v>1.64865862558738</v>
      </c>
      <c r="AT35" s="5" t="n">
        <v>22</v>
      </c>
      <c r="AU35" s="15" t="n">
        <v>2.471818</v>
      </c>
      <c r="AV35" s="15" t="n">
        <v>2.405</v>
      </c>
      <c r="AW35" s="15" t="n">
        <v>0.401063</v>
      </c>
      <c r="AX35" s="8" t="n">
        <v>56.9476855368153</v>
      </c>
      <c r="AY35" s="5" t="n">
        <v>247</v>
      </c>
    </row>
    <row r="36" customFormat="false" ht="14.9" hidden="false" customHeight="false" outlineLevel="0" collapsed="false">
      <c r="A36" s="5" t="n">
        <v>849</v>
      </c>
      <c r="B36" s="6" t="s">
        <v>157</v>
      </c>
      <c r="C36" s="7" t="s">
        <v>52</v>
      </c>
      <c r="D36" s="7" t="n">
        <v>0</v>
      </c>
      <c r="E36" s="5" t="n">
        <v>37</v>
      </c>
      <c r="F36" s="8" t="n">
        <v>96.9866267816294</v>
      </c>
      <c r="G36" s="8" t="n">
        <v>24.410343399159</v>
      </c>
      <c r="H36" s="8" t="n">
        <v>21.352780435291</v>
      </c>
      <c r="I36" s="8" t="n">
        <v>34.6075456913158</v>
      </c>
      <c r="J36" s="5" t="n">
        <v>740</v>
      </c>
      <c r="K36" s="17" t="n">
        <v>44453</v>
      </c>
      <c r="L36" s="8" t="n">
        <v>10.2</v>
      </c>
      <c r="M36" s="5" t="n">
        <v>2030</v>
      </c>
      <c r="N36" s="12" t="n">
        <f aca="false">LN(M36)</f>
        <v>7.61579107203583</v>
      </c>
      <c r="O36" s="5" t="n">
        <v>11</v>
      </c>
      <c r="P36" s="17" t="n">
        <v>44456</v>
      </c>
      <c r="Q36" s="8" t="n">
        <v>10.2</v>
      </c>
      <c r="R36" s="5" t="n">
        <v>212</v>
      </c>
      <c r="S36" s="12" t="n">
        <f aca="false">LN(R36)</f>
        <v>5.35658627467201</v>
      </c>
      <c r="T36" s="5" t="n">
        <v>12</v>
      </c>
      <c r="U36" s="5" t="n">
        <v>12.62</v>
      </c>
      <c r="V36" s="19"/>
      <c r="W36" s="14" t="n">
        <v>500.343869018386</v>
      </c>
      <c r="X36" s="7" t="s">
        <v>158</v>
      </c>
      <c r="Y36" s="7" t="s">
        <v>159</v>
      </c>
      <c r="Z36" s="7" t="s">
        <v>63</v>
      </c>
      <c r="AA36" s="7" t="n">
        <v>1</v>
      </c>
      <c r="AB36" s="7" t="s">
        <v>52</v>
      </c>
      <c r="AC36" s="5" t="n">
        <v>49</v>
      </c>
      <c r="AD36" s="5" t="n">
        <v>55</v>
      </c>
      <c r="AE36" s="8" t="n">
        <v>21.9922616951528</v>
      </c>
      <c r="AF36" s="8" t="n">
        <v>21.1253266112018</v>
      </c>
      <c r="AG36" s="8" t="n">
        <v>35.6828016807272</v>
      </c>
      <c r="AH36" s="5" t="n">
        <v>940</v>
      </c>
      <c r="AI36" s="7" t="s">
        <v>56</v>
      </c>
      <c r="AJ36" s="7" t="n">
        <v>2</v>
      </c>
      <c r="AK36" s="5" t="n">
        <v>2</v>
      </c>
      <c r="AL36" s="5" t="n">
        <v>245789</v>
      </c>
      <c r="AM36" s="5" t="n">
        <v>5674818</v>
      </c>
      <c r="AN36" s="14" t="n">
        <v>2570</v>
      </c>
      <c r="AO36" s="14" t="n">
        <v>18</v>
      </c>
      <c r="AP36" s="15" t="n">
        <f aca="false">M36/AN36</f>
        <v>0.78988326848249</v>
      </c>
      <c r="AQ36" s="16" t="n">
        <f aca="false">LN(AP36)</f>
        <v>-0.235870105853432</v>
      </c>
      <c r="AR36" s="14" t="n">
        <f aca="false">R36/AO36</f>
        <v>11.7777777777778</v>
      </c>
      <c r="AS36" s="15" t="n">
        <f aca="false">LN(AR36)</f>
        <v>2.46621451677585</v>
      </c>
      <c r="AT36" s="5" t="n">
        <v>20</v>
      </c>
      <c r="AU36" s="15" t="n">
        <v>2.2035</v>
      </c>
      <c r="AV36" s="15" t="n">
        <v>2.22</v>
      </c>
      <c r="AW36" s="15" t="n">
        <v>0.213735</v>
      </c>
      <c r="AX36" s="8" t="n">
        <v>56.8978795562717</v>
      </c>
      <c r="AY36" s="5" t="n">
        <v>247</v>
      </c>
    </row>
    <row r="37" customFormat="false" ht="14.9" hidden="false" customHeight="false" outlineLevel="0" collapsed="false">
      <c r="A37" s="5" t="n">
        <v>858</v>
      </c>
      <c r="B37" s="6" t="s">
        <v>160</v>
      </c>
      <c r="C37" s="7" t="s">
        <v>52</v>
      </c>
      <c r="D37" s="7" t="n">
        <v>0</v>
      </c>
      <c r="E37" s="5" t="n">
        <v>38</v>
      </c>
      <c r="F37" s="8" t="n">
        <v>96.2846580406654</v>
      </c>
      <c r="G37" s="8" t="n">
        <v>16.5577140552928</v>
      </c>
      <c r="H37" s="8" t="n">
        <v>17.7976354261883</v>
      </c>
      <c r="I37" s="8" t="n">
        <v>32.7336664722798</v>
      </c>
      <c r="J37" s="5" t="n">
        <v>1520</v>
      </c>
      <c r="K37" s="9" t="n">
        <v>44453</v>
      </c>
      <c r="L37" s="10" t="n">
        <v>8.1</v>
      </c>
      <c r="M37" s="11" t="n">
        <v>7750</v>
      </c>
      <c r="N37" s="12" t="n">
        <f aca="false">LN(M37)</f>
        <v>8.95544812234739</v>
      </c>
      <c r="O37" s="11" t="n">
        <v>10</v>
      </c>
      <c r="P37" s="9" t="n">
        <v>44456</v>
      </c>
      <c r="Q37" s="10" t="n">
        <v>8.2</v>
      </c>
      <c r="R37" s="11" t="n">
        <v>160</v>
      </c>
      <c r="S37" s="12" t="n">
        <f aca="false">LN(R37)</f>
        <v>5.07517381523383</v>
      </c>
      <c r="T37" s="11" t="n">
        <v>16</v>
      </c>
      <c r="U37" s="5" t="n">
        <v>8.92</v>
      </c>
      <c r="V37" s="19"/>
      <c r="W37" s="14" t="n">
        <v>249.965217712587</v>
      </c>
      <c r="X37" s="7" t="s">
        <v>161</v>
      </c>
      <c r="Y37" s="7" t="s">
        <v>162</v>
      </c>
      <c r="Z37" s="7" t="s">
        <v>63</v>
      </c>
      <c r="AA37" s="7" t="n">
        <v>1</v>
      </c>
      <c r="AB37" s="7" t="s">
        <v>52</v>
      </c>
      <c r="AC37" s="5" t="n">
        <v>51</v>
      </c>
      <c r="AD37" s="5" t="n">
        <v>40</v>
      </c>
      <c r="AE37" s="8" t="n">
        <v>16.2450743003653</v>
      </c>
      <c r="AF37" s="8" t="n">
        <v>17.7163336149116</v>
      </c>
      <c r="AG37" s="8" t="n">
        <v>33.9967624524925</v>
      </c>
      <c r="AH37" s="5" t="n">
        <v>1640</v>
      </c>
      <c r="AI37" s="7" t="s">
        <v>56</v>
      </c>
      <c r="AJ37" s="7" t="n">
        <v>2</v>
      </c>
      <c r="AK37" s="5" t="n">
        <v>2</v>
      </c>
      <c r="AL37" s="5" t="n">
        <v>245489</v>
      </c>
      <c r="AM37" s="5" t="n">
        <v>5674645</v>
      </c>
      <c r="AN37" s="14" t="n">
        <v>1630</v>
      </c>
      <c r="AO37" s="14" t="n">
        <v>24</v>
      </c>
      <c r="AP37" s="15" t="n">
        <f aca="false">M37/AN37</f>
        <v>4.75460122699387</v>
      </c>
      <c r="AQ37" s="16" t="n">
        <f aca="false">LN(AP37)</f>
        <v>1.55911282854658</v>
      </c>
      <c r="AR37" s="8" t="n">
        <f aca="false">R37/AO37</f>
        <v>6.66666666666667</v>
      </c>
      <c r="AS37" s="15" t="n">
        <f aca="false">LN(AR37)</f>
        <v>1.89711998488588</v>
      </c>
      <c r="AT37" s="5" t="n">
        <v>14</v>
      </c>
      <c r="AU37" s="15" t="n">
        <v>2.182143</v>
      </c>
      <c r="AV37" s="15" t="n">
        <v>2.085</v>
      </c>
      <c r="AW37" s="15" t="n">
        <v>0.236709</v>
      </c>
      <c r="AX37" s="8" t="n">
        <v>57.2416836317731</v>
      </c>
      <c r="AY37" s="5" t="n">
        <v>247</v>
      </c>
    </row>
    <row r="38" customFormat="false" ht="14.9" hidden="false" customHeight="false" outlineLevel="0" collapsed="false">
      <c r="A38" s="5" t="n">
        <v>863</v>
      </c>
      <c r="B38" s="6" t="s">
        <v>163</v>
      </c>
      <c r="C38" s="7" t="s">
        <v>52</v>
      </c>
      <c r="D38" s="7" t="n">
        <v>0</v>
      </c>
      <c r="E38" s="5" t="n">
        <v>28</v>
      </c>
      <c r="F38" s="8" t="n">
        <v>100</v>
      </c>
      <c r="G38" s="8" t="n">
        <v>23.2716872738405</v>
      </c>
      <c r="H38" s="8" t="n">
        <v>25.4764441154178</v>
      </c>
      <c r="I38" s="8" t="n">
        <v>47.6457399103139</v>
      </c>
      <c r="J38" s="5" t="n">
        <v>1120</v>
      </c>
      <c r="K38" s="9" t="n">
        <v>44453</v>
      </c>
      <c r="L38" s="10" t="n">
        <v>11.5</v>
      </c>
      <c r="M38" s="11" t="n">
        <v>992</v>
      </c>
      <c r="N38" s="12" t="n">
        <f aca="false">LN(M38)</f>
        <v>6.89972310728487</v>
      </c>
      <c r="O38" s="11" t="n">
        <v>14</v>
      </c>
      <c r="P38" s="9" t="n">
        <v>44456</v>
      </c>
      <c r="Q38" s="10" t="n">
        <v>11.6</v>
      </c>
      <c r="R38" s="11" t="n">
        <v>127</v>
      </c>
      <c r="S38" s="12" t="n">
        <f aca="false">LN(R38)</f>
        <v>4.84418708645859</v>
      </c>
      <c r="T38" s="11" t="n">
        <v>17</v>
      </c>
      <c r="U38" s="5" t="n">
        <v>8.92</v>
      </c>
      <c r="V38" s="19"/>
      <c r="W38" s="14" t="n">
        <v>249.965217712587</v>
      </c>
      <c r="X38" s="7" t="s">
        <v>164</v>
      </c>
      <c r="Y38" s="7" t="s">
        <v>165</v>
      </c>
      <c r="Z38" s="7" t="s">
        <v>63</v>
      </c>
      <c r="AA38" s="7" t="n">
        <v>1</v>
      </c>
      <c r="AB38" s="7" t="s">
        <v>52</v>
      </c>
      <c r="AC38" s="5" t="n">
        <v>29</v>
      </c>
      <c r="AD38" s="5" t="n">
        <v>64</v>
      </c>
      <c r="AE38" s="8" t="n">
        <v>23.2716872738405</v>
      </c>
      <c r="AF38" s="8" t="n">
        <v>25.4764441154178</v>
      </c>
      <c r="AG38" s="8" t="n">
        <v>47.6457399103139</v>
      </c>
      <c r="AH38" s="5" t="n">
        <v>1120</v>
      </c>
      <c r="AI38" s="7" t="s">
        <v>56</v>
      </c>
      <c r="AJ38" s="7" t="n">
        <v>2</v>
      </c>
      <c r="AK38" s="5" t="n">
        <v>2</v>
      </c>
      <c r="AL38" s="5" t="n">
        <v>245536</v>
      </c>
      <c r="AM38" s="5" t="n">
        <v>5674563</v>
      </c>
      <c r="AN38" s="14" t="n">
        <v>2500</v>
      </c>
      <c r="AO38" s="14" t="n">
        <v>21</v>
      </c>
      <c r="AP38" s="15" t="n">
        <f aca="false">M38/AN38</f>
        <v>0.3968</v>
      </c>
      <c r="AQ38" s="16" t="n">
        <f aca="false">LN(AP38)</f>
        <v>-0.924322903571419</v>
      </c>
      <c r="AR38" s="8" t="n">
        <f aca="false">R38/AO38</f>
        <v>6.04761904761905</v>
      </c>
      <c r="AS38" s="15" t="n">
        <f aca="false">LN(AR38)</f>
        <v>1.79966464873517</v>
      </c>
      <c r="AT38" s="5" t="n">
        <v>23</v>
      </c>
      <c r="AU38" s="15" t="n">
        <v>2.418261</v>
      </c>
      <c r="AV38" s="15" t="n">
        <v>2.42</v>
      </c>
      <c r="AW38" s="15" t="n">
        <v>0.195017</v>
      </c>
      <c r="AX38" s="8" t="n">
        <v>57.2306970078122</v>
      </c>
      <c r="AY38" s="5" t="n">
        <v>247</v>
      </c>
    </row>
    <row r="39" customFormat="false" ht="14.9" hidden="false" customHeight="false" outlineLevel="0" collapsed="false">
      <c r="A39" s="5" t="n">
        <v>66</v>
      </c>
      <c r="B39" s="6" t="s">
        <v>166</v>
      </c>
      <c r="C39" s="7" t="s">
        <v>52</v>
      </c>
      <c r="D39" s="7" t="n">
        <v>0</v>
      </c>
      <c r="E39" s="5" t="n">
        <v>42</v>
      </c>
      <c r="F39" s="8" t="n">
        <v>41.5573053368329</v>
      </c>
      <c r="G39" s="8" t="n">
        <v>3.36296354567275</v>
      </c>
      <c r="H39" s="8" t="n">
        <v>4.17107734471965</v>
      </c>
      <c r="I39" s="8" t="n">
        <v>1.49246415572402</v>
      </c>
      <c r="J39" s="5" t="n">
        <v>1680</v>
      </c>
      <c r="K39" s="9" t="n">
        <v>44453</v>
      </c>
      <c r="L39" s="10" t="n">
        <v>1</v>
      </c>
      <c r="M39" s="11" t="n">
        <v>3870</v>
      </c>
      <c r="N39" s="12" t="n">
        <f aca="false">LN(M39)</f>
        <v>8.26100978602383</v>
      </c>
      <c r="O39" s="11" t="n">
        <v>11</v>
      </c>
      <c r="P39" s="9" t="n">
        <v>44456</v>
      </c>
      <c r="Q39" s="10" t="n">
        <v>1</v>
      </c>
      <c r="R39" s="11" t="n">
        <v>29000</v>
      </c>
      <c r="S39" s="12" t="n">
        <f aca="false">LN(R39)</f>
        <v>10.2750511089686</v>
      </c>
      <c r="T39" s="11" t="n">
        <v>8</v>
      </c>
      <c r="U39" s="5" t="n">
        <v>8.92</v>
      </c>
      <c r="V39" s="11" t="n">
        <v>2</v>
      </c>
      <c r="W39" s="14" t="n">
        <v>249.965217712587</v>
      </c>
      <c r="X39" s="7" t="s">
        <v>167</v>
      </c>
      <c r="Y39" s="7" t="s">
        <v>168</v>
      </c>
      <c r="Z39" s="7" t="s">
        <v>55</v>
      </c>
      <c r="AA39" s="7" t="n">
        <v>0</v>
      </c>
      <c r="AB39" s="7" t="s">
        <v>169</v>
      </c>
      <c r="AC39" s="5" t="n">
        <v>49</v>
      </c>
      <c r="AD39" s="5" t="n">
        <v>15</v>
      </c>
      <c r="AE39" s="8" t="n">
        <v>4.82975471553627</v>
      </c>
      <c r="AF39" s="8" t="n">
        <v>8.30961688112675</v>
      </c>
      <c r="AG39" s="8" t="n">
        <v>3.59134006314223</v>
      </c>
      <c r="AH39" s="5" t="n">
        <v>1960</v>
      </c>
      <c r="AI39" s="7" t="s">
        <v>56</v>
      </c>
      <c r="AJ39" s="7" t="n">
        <v>2</v>
      </c>
      <c r="AK39" s="5" t="n">
        <v>2</v>
      </c>
      <c r="AL39" s="5" t="n">
        <v>299182.987</v>
      </c>
      <c r="AM39" s="5" t="n">
        <v>5701278.99</v>
      </c>
      <c r="AN39" s="14" t="n">
        <v>2300</v>
      </c>
      <c r="AO39" s="14" t="n">
        <v>1100</v>
      </c>
      <c r="AP39" s="15" t="n">
        <f aca="false">M39/AN39</f>
        <v>1.68260869565217</v>
      </c>
      <c r="AQ39" s="16" t="n">
        <f aca="false">LN(AP39)</f>
        <v>0.520345384106586</v>
      </c>
      <c r="AR39" s="14" t="n">
        <f aca="false">R39/AO39</f>
        <v>26.3636363636364</v>
      </c>
      <c r="AS39" s="15" t="n">
        <f aca="false">LN(AR39)</f>
        <v>3.27198565018215</v>
      </c>
      <c r="AT39" s="5" t="n">
        <v>44</v>
      </c>
      <c r="AU39" s="15" t="n">
        <v>2.775</v>
      </c>
      <c r="AV39" s="15" t="n">
        <v>2.72</v>
      </c>
      <c r="AW39" s="15" t="n">
        <v>0.154633</v>
      </c>
      <c r="AX39" s="8" t="n">
        <v>4.30572344377468</v>
      </c>
      <c r="AY39" s="5" t="n">
        <v>14</v>
      </c>
    </row>
    <row r="40" customFormat="false" ht="14.9" hidden="false" customHeight="false" outlineLevel="0" collapsed="false">
      <c r="A40" s="5" t="n">
        <v>74</v>
      </c>
      <c r="B40" s="6" t="s">
        <v>170</v>
      </c>
      <c r="C40" s="7" t="s">
        <v>52</v>
      </c>
      <c r="D40" s="7" t="n">
        <v>0</v>
      </c>
      <c r="E40" s="5" t="n">
        <v>42</v>
      </c>
      <c r="F40" s="8" t="n">
        <v>99.7751826640854</v>
      </c>
      <c r="G40" s="8" t="n">
        <v>19.5039678502802</v>
      </c>
      <c r="H40" s="8" t="n">
        <v>10.6417536825367</v>
      </c>
      <c r="I40" s="8" t="n">
        <v>25.079364880036</v>
      </c>
      <c r="J40" s="5" t="n">
        <v>840</v>
      </c>
      <c r="K40" s="9" t="n">
        <v>44110</v>
      </c>
      <c r="L40" s="10" t="n">
        <v>6</v>
      </c>
      <c r="M40" s="11" t="n">
        <v>38</v>
      </c>
      <c r="N40" s="12" t="n">
        <f aca="false">LN(M40)</f>
        <v>3.63758615972639</v>
      </c>
      <c r="O40" s="11" t="n">
        <v>15</v>
      </c>
      <c r="P40" s="9" t="n">
        <v>44124</v>
      </c>
      <c r="Q40" s="10" t="n">
        <v>6</v>
      </c>
      <c r="R40" s="11" t="n">
        <v>601</v>
      </c>
      <c r="S40" s="12" t="n">
        <f aca="false">LN(R40)</f>
        <v>6.39859493453521</v>
      </c>
      <c r="T40" s="11" t="n">
        <v>10</v>
      </c>
      <c r="U40" s="5" t="n">
        <v>12.62</v>
      </c>
      <c r="V40" s="11" t="n">
        <v>7</v>
      </c>
      <c r="W40" s="14" t="n">
        <v>500.343869018386</v>
      </c>
      <c r="X40" s="7" t="s">
        <v>171</v>
      </c>
      <c r="Y40" s="7" t="s">
        <v>172</v>
      </c>
      <c r="Z40" s="7" t="s">
        <v>55</v>
      </c>
      <c r="AA40" s="7" t="n">
        <v>0</v>
      </c>
      <c r="AB40" s="7" t="s">
        <v>52</v>
      </c>
      <c r="AC40" s="5" t="n">
        <v>43</v>
      </c>
      <c r="AD40" s="5" t="n">
        <v>30</v>
      </c>
      <c r="AE40" s="8" t="n">
        <v>19.297547741545</v>
      </c>
      <c r="AF40" s="8" t="n">
        <v>10.6315222976354</v>
      </c>
      <c r="AG40" s="8" t="n">
        <v>25.135874683859</v>
      </c>
      <c r="AH40" s="5" t="n">
        <v>860</v>
      </c>
      <c r="AI40" s="7" t="s">
        <v>56</v>
      </c>
      <c r="AJ40" s="7" t="n">
        <v>2</v>
      </c>
      <c r="AK40" s="5" t="n">
        <v>2</v>
      </c>
      <c r="AL40" s="5" t="n">
        <v>300371.815</v>
      </c>
      <c r="AM40" s="5" t="n">
        <v>5690953.218</v>
      </c>
      <c r="AN40" s="14" t="n">
        <v>630</v>
      </c>
      <c r="AO40" s="14" t="n">
        <v>270</v>
      </c>
      <c r="AP40" s="18" t="n">
        <f aca="false">M40/AN40</f>
        <v>0.0603174603174603</v>
      </c>
      <c r="AQ40" s="16" t="n">
        <f aca="false">LN(AP40)</f>
        <v>-2.80813365965919</v>
      </c>
      <c r="AR40" s="8" t="n">
        <f aca="false">R40/AO40</f>
        <v>2.22592592592593</v>
      </c>
      <c r="AS40" s="15" t="n">
        <f aca="false">LN(AR40)</f>
        <v>0.800172975536833</v>
      </c>
      <c r="AT40" s="5" t="n">
        <v>37</v>
      </c>
      <c r="AU40" s="15" t="n">
        <v>0.751351</v>
      </c>
      <c r="AV40" s="15" t="n">
        <v>0.76</v>
      </c>
      <c r="AW40" s="15" t="n">
        <v>0.07545</v>
      </c>
      <c r="AX40" s="8" t="n">
        <v>6.5396711273385</v>
      </c>
      <c r="AY40" s="5" t="n">
        <v>160</v>
      </c>
    </row>
    <row r="41" customFormat="false" ht="14.9" hidden="false" customHeight="false" outlineLevel="0" collapsed="false">
      <c r="A41" s="5" t="n">
        <v>535</v>
      </c>
      <c r="B41" s="6" t="s">
        <v>173</v>
      </c>
      <c r="C41" s="7" t="s">
        <v>52</v>
      </c>
      <c r="D41" s="7" t="n">
        <v>0</v>
      </c>
      <c r="E41" s="5" t="n">
        <v>32</v>
      </c>
      <c r="F41" s="8" t="n">
        <v>80.8113430484443</v>
      </c>
      <c r="G41" s="8" t="n">
        <v>17.9051319458975</v>
      </c>
      <c r="H41" s="8" t="n">
        <v>20.1189597402472</v>
      </c>
      <c r="I41" s="8" t="n">
        <v>32.2340837338374</v>
      </c>
      <c r="J41" s="5" t="n">
        <v>1280</v>
      </c>
      <c r="K41" s="17" t="n">
        <v>44145</v>
      </c>
      <c r="L41" s="8" t="n">
        <v>8.3</v>
      </c>
      <c r="M41" s="5" t="n">
        <v>2670</v>
      </c>
      <c r="N41" s="12" t="n">
        <f aca="false">LN(M41)</f>
        <v>7.8898337513943</v>
      </c>
      <c r="O41" s="5" t="n">
        <v>12</v>
      </c>
      <c r="P41" s="17" t="n">
        <v>44153</v>
      </c>
      <c r="Q41" s="8" t="n">
        <v>8.3</v>
      </c>
      <c r="R41" s="5" t="n">
        <v>5400</v>
      </c>
      <c r="S41" s="12" t="n">
        <f aca="false">LN(R41)</f>
        <v>8.59415423255237</v>
      </c>
      <c r="T41" s="5" t="n">
        <v>8</v>
      </c>
      <c r="U41" s="5" t="n">
        <v>8.92</v>
      </c>
      <c r="V41" s="11" t="n">
        <v>2</v>
      </c>
      <c r="W41" s="14" t="n">
        <v>249.965217712587</v>
      </c>
      <c r="X41" s="7" t="s">
        <v>174</v>
      </c>
      <c r="Y41" s="7" t="s">
        <v>175</v>
      </c>
      <c r="Z41" s="7" t="s">
        <v>63</v>
      </c>
      <c r="AA41" s="7" t="n">
        <v>1</v>
      </c>
      <c r="AB41" s="7" t="s">
        <v>52</v>
      </c>
      <c r="AC41" s="5" t="n">
        <v>42</v>
      </c>
      <c r="AD41" s="5" t="n">
        <v>45</v>
      </c>
      <c r="AE41" s="8" t="n">
        <v>18.0419738530134</v>
      </c>
      <c r="AF41" s="8" t="n">
        <v>20.1454331402418</v>
      </c>
      <c r="AG41" s="8" t="n">
        <v>39.8880683303505</v>
      </c>
      <c r="AH41" s="5" t="n">
        <v>1560</v>
      </c>
      <c r="AI41" s="7" t="s">
        <v>56</v>
      </c>
      <c r="AJ41" s="7" t="n">
        <v>2</v>
      </c>
      <c r="AK41" s="5" t="n">
        <v>2</v>
      </c>
      <c r="AL41" s="5" t="n">
        <v>299089.19</v>
      </c>
      <c r="AM41" s="5" t="n">
        <v>5701068.788</v>
      </c>
      <c r="AN41" s="14" t="n">
        <v>2700</v>
      </c>
      <c r="AO41" s="14" t="n">
        <v>1630</v>
      </c>
      <c r="AP41" s="15" t="n">
        <f aca="false">M41/AN41</f>
        <v>0.988888888888889</v>
      </c>
      <c r="AQ41" s="16" t="n">
        <f aca="false">LN(AP41)</f>
        <v>-0.0111733005981252</v>
      </c>
      <c r="AR41" s="8" t="n">
        <f aca="false">R41/AO41</f>
        <v>3.31288343558282</v>
      </c>
      <c r="AS41" s="15" t="n">
        <f aca="false">LN(AR41)</f>
        <v>1.19781893875156</v>
      </c>
      <c r="AT41" s="5" t="n">
        <v>28</v>
      </c>
      <c r="AU41" s="15" t="n">
        <v>3.255357</v>
      </c>
      <c r="AV41" s="15" t="n">
        <v>3.285</v>
      </c>
      <c r="AW41" s="15" t="n">
        <v>0.369647</v>
      </c>
      <c r="AX41" s="8" t="n">
        <v>4.07927818480693</v>
      </c>
      <c r="AY41" s="5" t="n">
        <v>13</v>
      </c>
    </row>
    <row r="42" customFormat="false" ht="14.9" hidden="false" customHeight="false" outlineLevel="0" collapsed="false">
      <c r="A42" s="5" t="n">
        <v>540</v>
      </c>
      <c r="B42" s="6" t="s">
        <v>176</v>
      </c>
      <c r="C42" s="7" t="s">
        <v>52</v>
      </c>
      <c r="D42" s="7" t="n">
        <v>0</v>
      </c>
      <c r="E42" s="5" t="n">
        <v>22</v>
      </c>
      <c r="F42" s="8" t="n">
        <v>100</v>
      </c>
      <c r="G42" s="8" t="n">
        <v>21.5163785394881</v>
      </c>
      <c r="H42" s="8" t="n">
        <v>18.4107529394512</v>
      </c>
      <c r="I42" s="8" t="n">
        <v>32.0015735285246</v>
      </c>
      <c r="J42" s="5" t="n">
        <v>880</v>
      </c>
      <c r="K42" s="9" t="n">
        <v>44145</v>
      </c>
      <c r="L42" s="10" t="n">
        <v>8.9</v>
      </c>
      <c r="M42" s="11" t="n">
        <v>1260</v>
      </c>
      <c r="N42" s="12" t="n">
        <f aca="false">LN(M42)</f>
        <v>7.13886699994552</v>
      </c>
      <c r="O42" s="11" t="n">
        <v>13</v>
      </c>
      <c r="P42" s="9" t="n">
        <v>44153</v>
      </c>
      <c r="Q42" s="10" t="n">
        <v>8.9</v>
      </c>
      <c r="R42" s="11" t="n">
        <v>7040</v>
      </c>
      <c r="S42" s="12" t="n">
        <f aca="false">LN(R42)</f>
        <v>8.85936344915209</v>
      </c>
      <c r="T42" s="11" t="n">
        <v>8</v>
      </c>
      <c r="U42" s="5" t="n">
        <v>8.92</v>
      </c>
      <c r="V42" s="11" t="n">
        <v>2</v>
      </c>
      <c r="W42" s="14" t="n">
        <v>249.965217712587</v>
      </c>
      <c r="X42" s="7" t="s">
        <v>177</v>
      </c>
      <c r="Y42" s="7" t="s">
        <v>178</v>
      </c>
      <c r="Z42" s="7" t="s">
        <v>63</v>
      </c>
      <c r="AA42" s="7" t="n">
        <v>1</v>
      </c>
      <c r="AB42" s="7" t="s">
        <v>52</v>
      </c>
      <c r="AC42" s="5" t="n">
        <v>23</v>
      </c>
      <c r="AD42" s="5" t="n">
        <v>45</v>
      </c>
      <c r="AE42" s="8" t="n">
        <v>21.5163785394881</v>
      </c>
      <c r="AF42" s="8" t="n">
        <v>18.4107529394512</v>
      </c>
      <c r="AG42" s="8" t="n">
        <v>32.0015735285246</v>
      </c>
      <c r="AH42" s="5" t="n">
        <v>880</v>
      </c>
      <c r="AI42" s="7" t="s">
        <v>56</v>
      </c>
      <c r="AJ42" s="7" t="n">
        <v>2</v>
      </c>
      <c r="AK42" s="5" t="n">
        <v>2</v>
      </c>
      <c r="AL42" s="5" t="n">
        <v>299164.618</v>
      </c>
      <c r="AM42" s="5" t="n">
        <v>5701045.637</v>
      </c>
      <c r="AN42" s="14" t="n">
        <v>2600</v>
      </c>
      <c r="AO42" s="14" t="n">
        <v>1550</v>
      </c>
      <c r="AP42" s="15" t="n">
        <f aca="false">M42/AN42</f>
        <v>0.484615384615385</v>
      </c>
      <c r="AQ42" s="16" t="n">
        <f aca="false">LN(AP42)</f>
        <v>-0.72439972406405</v>
      </c>
      <c r="AR42" s="8" t="n">
        <f aca="false">R42/AO42</f>
        <v>4.54193548387097</v>
      </c>
      <c r="AS42" s="15" t="n">
        <f aca="false">LN(AR42)</f>
        <v>1.5133532392388</v>
      </c>
      <c r="AT42" s="5" t="n">
        <v>13</v>
      </c>
      <c r="AU42" s="15" t="n">
        <v>3.459231</v>
      </c>
      <c r="AV42" s="15" t="n">
        <v>3.5</v>
      </c>
      <c r="AW42" s="15" t="n">
        <v>0.273846</v>
      </c>
      <c r="AX42" s="8" t="n">
        <v>4.07503480177702</v>
      </c>
      <c r="AY42" s="5" t="n">
        <v>15</v>
      </c>
    </row>
    <row r="43" customFormat="false" ht="14.9" hidden="false" customHeight="false" outlineLevel="0" collapsed="false">
      <c r="A43" s="5" t="n">
        <v>557</v>
      </c>
      <c r="B43" s="6" t="s">
        <v>179</v>
      </c>
      <c r="C43" s="7" t="s">
        <v>52</v>
      </c>
      <c r="D43" s="7" t="n">
        <v>0</v>
      </c>
      <c r="E43" s="5" t="n">
        <v>47</v>
      </c>
      <c r="F43" s="8" t="n">
        <v>100</v>
      </c>
      <c r="G43" s="8" t="n">
        <v>19.8317390145299</v>
      </c>
      <c r="H43" s="8" t="n">
        <v>14.6495619089308</v>
      </c>
      <c r="I43" s="8" t="n">
        <v>29.016214546377</v>
      </c>
      <c r="J43" s="5" t="n">
        <v>940</v>
      </c>
      <c r="K43" s="9" t="n">
        <v>44145</v>
      </c>
      <c r="L43" s="10" t="n">
        <v>7.3</v>
      </c>
      <c r="M43" s="11" t="n">
        <v>1230</v>
      </c>
      <c r="N43" s="12" t="n">
        <f aca="false">LN(M43)</f>
        <v>7.11476944836646</v>
      </c>
      <c r="O43" s="11" t="n">
        <v>13</v>
      </c>
      <c r="P43" s="9" t="n">
        <v>44153</v>
      </c>
      <c r="Q43" s="10" t="n">
        <v>7.3</v>
      </c>
      <c r="R43" s="11" t="n">
        <v>11400</v>
      </c>
      <c r="S43" s="12" t="n">
        <f aca="false">LN(R43)</f>
        <v>9.34136863438259</v>
      </c>
      <c r="T43" s="11" t="n">
        <v>8</v>
      </c>
      <c r="U43" s="5" t="n">
        <v>12.62</v>
      </c>
      <c r="V43" s="11" t="n">
        <v>2</v>
      </c>
      <c r="W43" s="14" t="n">
        <v>500.343869018386</v>
      </c>
      <c r="X43" s="7" t="s">
        <v>180</v>
      </c>
      <c r="Y43" s="7" t="s">
        <v>181</v>
      </c>
      <c r="Z43" s="7" t="s">
        <v>63</v>
      </c>
      <c r="AA43" s="7" t="n">
        <v>1</v>
      </c>
      <c r="AB43" s="7" t="s">
        <v>52</v>
      </c>
      <c r="AC43" s="5" t="n">
        <v>51</v>
      </c>
      <c r="AD43" s="5" t="n">
        <v>50</v>
      </c>
      <c r="AE43" s="8" t="n">
        <v>19.8317390145299</v>
      </c>
      <c r="AF43" s="8" t="n">
        <v>14.6495619089308</v>
      </c>
      <c r="AG43" s="8" t="n">
        <v>29.016214546377</v>
      </c>
      <c r="AH43" s="5" t="n">
        <v>940</v>
      </c>
      <c r="AI43" s="7" t="s">
        <v>56</v>
      </c>
      <c r="AJ43" s="7" t="n">
        <v>2</v>
      </c>
      <c r="AK43" s="5" t="n">
        <v>2</v>
      </c>
      <c r="AL43" s="5" t="n">
        <v>299137.715</v>
      </c>
      <c r="AM43" s="5" t="n">
        <v>5701250.699</v>
      </c>
      <c r="AN43" s="14" t="n">
        <v>2260</v>
      </c>
      <c r="AO43" s="14" t="n">
        <v>1350</v>
      </c>
      <c r="AP43" s="15" t="n">
        <f aca="false">M43/AN43</f>
        <v>0.544247787610619</v>
      </c>
      <c r="AQ43" s="16" t="n">
        <f aca="false">LN(AP43)</f>
        <v>-0.608350643899868</v>
      </c>
      <c r="AR43" s="8" t="n">
        <f aca="false">R43/AO43</f>
        <v>8.44444444444444</v>
      </c>
      <c r="AS43" s="15" t="n">
        <f aca="false">LN(AR43)</f>
        <v>2.13350876295011</v>
      </c>
      <c r="AT43" s="5" t="n">
        <v>75</v>
      </c>
      <c r="AU43" s="15" t="n">
        <v>2.633333</v>
      </c>
      <c r="AV43" s="15" t="n">
        <v>2.64</v>
      </c>
      <c r="AW43" s="15" t="n">
        <v>0.215706</v>
      </c>
      <c r="AX43" s="8" t="n">
        <v>4.26748756903008</v>
      </c>
      <c r="AY43" s="5" t="n">
        <v>13</v>
      </c>
    </row>
    <row r="44" customFormat="false" ht="14.9" hidden="false" customHeight="false" outlineLevel="0" collapsed="false">
      <c r="A44" s="5" t="n">
        <v>495</v>
      </c>
      <c r="B44" s="6" t="s">
        <v>182</v>
      </c>
      <c r="C44" s="7" t="s">
        <v>52</v>
      </c>
      <c r="D44" s="7" t="n">
        <v>0</v>
      </c>
      <c r="E44" s="5" t="n">
        <v>22</v>
      </c>
      <c r="F44" s="8" t="n">
        <v>100</v>
      </c>
      <c r="G44" s="8" t="n">
        <v>15.0227100811344</v>
      </c>
      <c r="H44" s="8" t="n">
        <v>16.8905590977124</v>
      </c>
      <c r="I44" s="8" t="n">
        <v>39.0212388712841</v>
      </c>
      <c r="J44" s="5" t="n">
        <v>2200</v>
      </c>
      <c r="K44" s="9" t="n">
        <v>44110</v>
      </c>
      <c r="L44" s="10" t="n">
        <v>8.4</v>
      </c>
      <c r="M44" s="11" t="n">
        <v>3600</v>
      </c>
      <c r="N44" s="12" t="n">
        <f aca="false">LN(M44)</f>
        <v>8.1886891244442</v>
      </c>
      <c r="O44" s="11" t="n">
        <v>15</v>
      </c>
      <c r="P44" s="9" t="n">
        <v>44119</v>
      </c>
      <c r="Q44" s="10" t="n">
        <v>8.5</v>
      </c>
      <c r="R44" s="11" t="n">
        <v>15100</v>
      </c>
      <c r="S44" s="12" t="n">
        <f aca="false">LN(R44)</f>
        <v>9.62245002280302</v>
      </c>
      <c r="T44" s="11" t="n">
        <v>8</v>
      </c>
      <c r="U44" s="5" t="n">
        <v>5.64</v>
      </c>
      <c r="V44" s="11" t="n">
        <v>1</v>
      </c>
      <c r="W44" s="14" t="n">
        <v>99.9328056736299</v>
      </c>
      <c r="X44" s="7" t="s">
        <v>183</v>
      </c>
      <c r="Y44" s="7" t="s">
        <v>184</v>
      </c>
      <c r="Z44" s="7" t="s">
        <v>63</v>
      </c>
      <c r="AA44" s="7" t="n">
        <v>1</v>
      </c>
      <c r="AB44" s="7" t="s">
        <v>52</v>
      </c>
      <c r="AC44" s="5" t="n">
        <v>25</v>
      </c>
      <c r="AD44" s="5" t="n">
        <v>58</v>
      </c>
      <c r="AE44" s="8" t="n">
        <v>15.0227100811344</v>
      </c>
      <c r="AF44" s="8" t="n">
        <v>16.8905590977124</v>
      </c>
      <c r="AG44" s="8" t="n">
        <v>39.0212388712841</v>
      </c>
      <c r="AH44" s="5" t="n">
        <v>2200</v>
      </c>
      <c r="AI44" s="7" t="s">
        <v>56</v>
      </c>
      <c r="AJ44" s="7" t="n">
        <v>2</v>
      </c>
      <c r="AK44" s="5" t="n">
        <v>2</v>
      </c>
      <c r="AL44" s="5" t="n">
        <v>299016.572</v>
      </c>
      <c r="AM44" s="5" t="n">
        <v>5702071.253</v>
      </c>
      <c r="AN44" s="14" t="n">
        <v>2700</v>
      </c>
      <c r="AO44" s="14" t="n">
        <v>1180</v>
      </c>
      <c r="AP44" s="15" t="n">
        <f aca="false">M44/AN44</f>
        <v>1.33333333333333</v>
      </c>
      <c r="AQ44" s="16" t="n">
        <f aca="false">LN(AP44)</f>
        <v>0.287682072451781</v>
      </c>
      <c r="AR44" s="14" t="n">
        <f aca="false">R44/AO44</f>
        <v>12.7966101694915</v>
      </c>
      <c r="AS44" s="15" t="n">
        <f aca="false">LN(AR44)</f>
        <v>2.5491803053433</v>
      </c>
      <c r="AT44" s="5" t="n">
        <v>25</v>
      </c>
      <c r="AU44" s="15" t="n">
        <v>2.4708</v>
      </c>
      <c r="AV44" s="15" t="n">
        <v>2.42</v>
      </c>
      <c r="AW44" s="15" t="n">
        <v>0.15763</v>
      </c>
      <c r="AX44" s="8" t="n">
        <v>5.04661184035275</v>
      </c>
      <c r="AY44" s="5" t="n">
        <v>10</v>
      </c>
    </row>
    <row r="45" customFormat="false" ht="14.9" hidden="false" customHeight="false" outlineLevel="0" collapsed="false">
      <c r="A45" s="5" t="n">
        <v>597</v>
      </c>
      <c r="B45" s="6" t="s">
        <v>185</v>
      </c>
      <c r="C45" s="7" t="s">
        <v>52</v>
      </c>
      <c r="D45" s="7" t="n">
        <v>0</v>
      </c>
      <c r="E45" s="5" t="n">
        <v>33</v>
      </c>
      <c r="F45" s="8" t="n">
        <v>100</v>
      </c>
      <c r="G45" s="8" t="n">
        <v>29.1438438844919</v>
      </c>
      <c r="H45" s="8" t="n">
        <v>26.8126007687333</v>
      </c>
      <c r="I45" s="8" t="n">
        <v>43.9975914265837</v>
      </c>
      <c r="J45" s="5" t="n">
        <v>660</v>
      </c>
      <c r="K45" s="9" t="n">
        <v>44110</v>
      </c>
      <c r="L45" s="10" t="n">
        <v>18.5</v>
      </c>
      <c r="M45" s="11" t="n">
        <v>908</v>
      </c>
      <c r="N45" s="12" t="n">
        <f aca="false">LN(M45)</f>
        <v>6.81124437860129</v>
      </c>
      <c r="O45" s="11" t="n">
        <v>13</v>
      </c>
      <c r="P45" s="9" t="n">
        <v>44117</v>
      </c>
      <c r="Q45" s="10" t="n">
        <v>18.7</v>
      </c>
      <c r="R45" s="11" t="n">
        <v>2010</v>
      </c>
      <c r="S45" s="12" t="n">
        <f aca="false">LN(R45)</f>
        <v>7.60589000105312</v>
      </c>
      <c r="T45" s="11" t="n">
        <v>8</v>
      </c>
      <c r="U45" s="5" t="n">
        <v>12.62</v>
      </c>
      <c r="V45" s="11" t="n">
        <v>4</v>
      </c>
      <c r="W45" s="14" t="n">
        <v>500.343869018386</v>
      </c>
      <c r="X45" s="7" t="s">
        <v>186</v>
      </c>
      <c r="Y45" s="7" t="s">
        <v>187</v>
      </c>
      <c r="Z45" s="7" t="s">
        <v>63</v>
      </c>
      <c r="AA45" s="7" t="n">
        <v>1</v>
      </c>
      <c r="AB45" s="7" t="s">
        <v>52</v>
      </c>
      <c r="AC45" s="5" t="n">
        <v>33</v>
      </c>
      <c r="AD45" s="5" t="n">
        <v>83</v>
      </c>
      <c r="AE45" s="8" t="n">
        <v>29.1438438844919</v>
      </c>
      <c r="AF45" s="8" t="n">
        <v>26.8126007687333</v>
      </c>
      <c r="AG45" s="8" t="n">
        <v>43.9975914265837</v>
      </c>
      <c r="AH45" s="5" t="n">
        <v>660</v>
      </c>
      <c r="AI45" s="7" t="s">
        <v>56</v>
      </c>
      <c r="AJ45" s="7" t="n">
        <v>2</v>
      </c>
      <c r="AK45" s="5" t="n">
        <v>2</v>
      </c>
      <c r="AL45" s="5" t="n">
        <v>306058.147</v>
      </c>
      <c r="AM45" s="5" t="n">
        <v>5703301.056</v>
      </c>
      <c r="AN45" s="14" t="n">
        <v>720</v>
      </c>
      <c r="AO45" s="14" t="n">
        <v>220</v>
      </c>
      <c r="AP45" s="15" t="n">
        <f aca="false">M45/AN45</f>
        <v>1.26111111111111</v>
      </c>
      <c r="AQ45" s="16" t="n">
        <f aca="false">LN(AP45)</f>
        <v>0.231993166591192</v>
      </c>
      <c r="AR45" s="8" t="n">
        <f aca="false">R45/AO45</f>
        <v>9.13636363636364</v>
      </c>
      <c r="AS45" s="15" t="n">
        <f aca="false">LN(AR45)</f>
        <v>2.21226245470076</v>
      </c>
      <c r="AT45" s="5" t="n">
        <v>24</v>
      </c>
      <c r="AU45" s="15" t="n">
        <v>0.844583</v>
      </c>
      <c r="AV45" s="15" t="n">
        <v>0.845</v>
      </c>
      <c r="AW45" s="15" t="n">
        <v>0.064742</v>
      </c>
      <c r="AX45" s="8" t="n">
        <v>10.0551518003829</v>
      </c>
      <c r="AY45" s="5" t="n">
        <v>52</v>
      </c>
    </row>
    <row r="46" customFormat="false" ht="14.9" hidden="false" customHeight="false" outlineLevel="0" collapsed="false">
      <c r="A46" s="5" t="n">
        <v>600</v>
      </c>
      <c r="B46" s="6" t="s">
        <v>188</v>
      </c>
      <c r="C46" s="7" t="s">
        <v>52</v>
      </c>
      <c r="D46" s="7" t="n">
        <v>0</v>
      </c>
      <c r="E46" s="5" t="n">
        <v>46</v>
      </c>
      <c r="F46" s="8" t="n">
        <v>100</v>
      </c>
      <c r="G46" s="8" t="n">
        <v>18.2869637577773</v>
      </c>
      <c r="H46" s="8" t="n">
        <v>20.7918201568443</v>
      </c>
      <c r="I46" s="8" t="n">
        <v>48.3338444368477</v>
      </c>
      <c r="J46" s="5" t="n">
        <v>1840</v>
      </c>
      <c r="K46" s="17" t="n">
        <v>44110</v>
      </c>
      <c r="L46" s="8" t="n">
        <v>9</v>
      </c>
      <c r="M46" s="5" t="n">
        <v>1330</v>
      </c>
      <c r="N46" s="12" t="n">
        <f aca="false">LN(M46)</f>
        <v>7.1929342212158</v>
      </c>
      <c r="O46" s="5" t="n">
        <v>15</v>
      </c>
      <c r="P46" s="17" t="n">
        <v>44119</v>
      </c>
      <c r="Q46" s="8" t="n">
        <v>9.2</v>
      </c>
      <c r="R46" s="5" t="n">
        <v>3870</v>
      </c>
      <c r="S46" s="12" t="n">
        <f aca="false">LN(R46)</f>
        <v>8.26100978602383</v>
      </c>
      <c r="T46" s="5" t="n">
        <v>8</v>
      </c>
      <c r="U46" s="5" t="n">
        <v>8.92</v>
      </c>
      <c r="V46" s="11" t="n">
        <v>5</v>
      </c>
      <c r="W46" s="14" t="n">
        <v>249.965217712587</v>
      </c>
      <c r="X46" s="7" t="s">
        <v>189</v>
      </c>
      <c r="Y46" s="7" t="s">
        <v>190</v>
      </c>
      <c r="Z46" s="7" t="s">
        <v>63</v>
      </c>
      <c r="AA46" s="7" t="n">
        <v>1</v>
      </c>
      <c r="AB46" s="7" t="s">
        <v>52</v>
      </c>
      <c r="AC46" s="5" t="n">
        <v>50</v>
      </c>
      <c r="AD46" s="5" t="n">
        <v>58</v>
      </c>
      <c r="AE46" s="8" t="n">
        <v>18.2869637577773</v>
      </c>
      <c r="AF46" s="8" t="n">
        <v>20.7918201568443</v>
      </c>
      <c r="AG46" s="8" t="n">
        <v>48.3338444368477</v>
      </c>
      <c r="AH46" s="5" t="n">
        <v>1840</v>
      </c>
      <c r="AI46" s="7" t="s">
        <v>56</v>
      </c>
      <c r="AJ46" s="7" t="n">
        <v>2</v>
      </c>
      <c r="AK46" s="5" t="n">
        <v>2</v>
      </c>
      <c r="AL46" s="5" t="n">
        <v>305164.89</v>
      </c>
      <c r="AM46" s="5" t="n">
        <v>5703049.783</v>
      </c>
      <c r="AN46" s="14" t="n">
        <v>670</v>
      </c>
      <c r="AO46" s="14" t="n">
        <v>220</v>
      </c>
      <c r="AP46" s="15" t="n">
        <f aca="false">M46/AN46</f>
        <v>1.98507462686567</v>
      </c>
      <c r="AQ46" s="16" t="n">
        <f aca="false">LN(AP46)</f>
        <v>0.685656508830788</v>
      </c>
      <c r="AR46" s="14" t="n">
        <f aca="false">R46/AO46</f>
        <v>17.5909090909091</v>
      </c>
      <c r="AS46" s="15" t="n">
        <f aca="false">LN(AR46)</f>
        <v>2.86738223967147</v>
      </c>
      <c r="AT46" s="5" t="n">
        <v>17</v>
      </c>
      <c r="AU46" s="15" t="n">
        <v>0.812353</v>
      </c>
      <c r="AV46" s="15" t="n">
        <v>0.8</v>
      </c>
      <c r="AW46" s="15" t="n">
        <v>0.09601</v>
      </c>
      <c r="AX46" s="8" t="n">
        <v>9.2037494062576</v>
      </c>
      <c r="AY46" s="5" t="n">
        <v>50</v>
      </c>
    </row>
    <row r="47" customFormat="false" ht="14.9" hidden="false" customHeight="false" outlineLevel="0" collapsed="false">
      <c r="A47" s="5" t="n">
        <v>499</v>
      </c>
      <c r="B47" s="6" t="s">
        <v>191</v>
      </c>
      <c r="C47" s="7" t="s">
        <v>52</v>
      </c>
      <c r="D47" s="7" t="n">
        <v>0</v>
      </c>
      <c r="E47" s="5" t="n">
        <v>29</v>
      </c>
      <c r="F47" s="8" t="n">
        <v>100</v>
      </c>
      <c r="G47" s="8" t="n">
        <v>13.7062784506049</v>
      </c>
      <c r="H47" s="8" t="n">
        <v>16.786747121532</v>
      </c>
      <c r="I47" s="8" t="n">
        <v>42.8172627131432</v>
      </c>
      <c r="J47" s="5" t="n">
        <v>2900</v>
      </c>
      <c r="K47" s="9" t="n">
        <v>44111</v>
      </c>
      <c r="L47" s="10" t="n">
        <v>7.5</v>
      </c>
      <c r="M47" s="11" t="n">
        <v>4360</v>
      </c>
      <c r="N47" s="12" t="n">
        <f aca="false">LN(M47)</f>
        <v>8.38022733634308</v>
      </c>
      <c r="O47" s="11" t="n">
        <v>11</v>
      </c>
      <c r="P47" s="9" t="n">
        <v>44124</v>
      </c>
      <c r="Q47" s="10" t="n">
        <v>7.6</v>
      </c>
      <c r="R47" s="11" t="n">
        <v>14600</v>
      </c>
      <c r="S47" s="12" t="n">
        <f aca="false">LN(R47)</f>
        <v>9.58877680769643</v>
      </c>
      <c r="T47" s="11" t="n">
        <v>8</v>
      </c>
      <c r="U47" s="5" t="n">
        <v>5.64</v>
      </c>
      <c r="V47" s="11" t="n">
        <v>1</v>
      </c>
      <c r="W47" s="14" t="n">
        <v>99.9328056736299</v>
      </c>
      <c r="X47" s="7" t="s">
        <v>192</v>
      </c>
      <c r="Y47" s="7" t="s">
        <v>193</v>
      </c>
      <c r="Z47" s="7" t="s">
        <v>63</v>
      </c>
      <c r="AA47" s="7" t="n">
        <v>1</v>
      </c>
      <c r="AB47" s="7" t="s">
        <v>52</v>
      </c>
      <c r="AC47" s="5" t="n">
        <v>32</v>
      </c>
      <c r="AD47" s="5" t="n">
        <v>58</v>
      </c>
      <c r="AE47" s="8" t="n">
        <v>13.7062784506049</v>
      </c>
      <c r="AF47" s="8" t="n">
        <v>16.786747121532</v>
      </c>
      <c r="AG47" s="8" t="n">
        <v>42.8172627131432</v>
      </c>
      <c r="AH47" s="5" t="n">
        <v>2900</v>
      </c>
      <c r="AI47" s="7" t="s">
        <v>56</v>
      </c>
      <c r="AJ47" s="7" t="n">
        <v>2</v>
      </c>
      <c r="AK47" s="5" t="n">
        <v>2</v>
      </c>
      <c r="AL47" s="5" t="n">
        <v>299072.773</v>
      </c>
      <c r="AM47" s="5" t="n">
        <v>5702073.024</v>
      </c>
      <c r="AN47" s="14" t="n">
        <v>2500</v>
      </c>
      <c r="AO47" s="14" t="n">
        <v>1400</v>
      </c>
      <c r="AP47" s="15" t="n">
        <f aca="false">M47/AN47</f>
        <v>1.744</v>
      </c>
      <c r="AQ47" s="16" t="n">
        <f aca="false">LN(AP47)</f>
        <v>0.556181325486788</v>
      </c>
      <c r="AR47" s="14" t="n">
        <f aca="false">R47/AO47</f>
        <v>10.4285714285714</v>
      </c>
      <c r="AS47" s="15" t="n">
        <f aca="false">LN(AR47)</f>
        <v>2.34454929209308</v>
      </c>
      <c r="AT47" s="5" t="n">
        <v>26</v>
      </c>
      <c r="AU47" s="15" t="n">
        <v>2.441154</v>
      </c>
      <c r="AV47" s="15" t="n">
        <v>2.41</v>
      </c>
      <c r="AW47" s="15" t="n">
        <v>0.138017</v>
      </c>
      <c r="AX47" s="8" t="n">
        <v>5.05839510458673</v>
      </c>
      <c r="AY47" s="5" t="n">
        <v>11</v>
      </c>
    </row>
    <row r="48" customFormat="false" ht="14.9" hidden="false" customHeight="false" outlineLevel="0" collapsed="false">
      <c r="A48" s="5" t="n">
        <v>623</v>
      </c>
      <c r="B48" s="6" t="s">
        <v>194</v>
      </c>
      <c r="C48" s="7" t="s">
        <v>52</v>
      </c>
      <c r="D48" s="7" t="n">
        <v>0</v>
      </c>
      <c r="E48" s="5" t="n">
        <v>47</v>
      </c>
      <c r="F48" s="8" t="n">
        <v>98.7570828002193</v>
      </c>
      <c r="G48" s="8" t="n">
        <v>23.9747207291879</v>
      </c>
      <c r="H48" s="8" t="n">
        <v>19.4745162403819</v>
      </c>
      <c r="I48" s="8" t="n">
        <v>42.4058986189004</v>
      </c>
      <c r="J48" s="5" t="n">
        <v>940</v>
      </c>
      <c r="K48" s="9" t="n">
        <v>44110</v>
      </c>
      <c r="L48" s="10" t="n">
        <v>7</v>
      </c>
      <c r="M48" s="11" t="n">
        <v>1734</v>
      </c>
      <c r="N48" s="12" t="n">
        <f aca="false">LN(M48)</f>
        <v>7.45818615734049</v>
      </c>
      <c r="O48" s="11" t="n">
        <v>16</v>
      </c>
      <c r="P48" s="9" t="n">
        <v>44124</v>
      </c>
      <c r="Q48" s="10" t="n">
        <v>7.1</v>
      </c>
      <c r="R48" s="11" t="n">
        <v>5500</v>
      </c>
      <c r="S48" s="12" t="n">
        <f aca="false">LN(R48)</f>
        <v>8.61250337122056</v>
      </c>
      <c r="T48" s="11" t="n">
        <v>9</v>
      </c>
      <c r="U48" s="5" t="n">
        <v>12.62</v>
      </c>
      <c r="V48" s="11" t="n">
        <v>5</v>
      </c>
      <c r="W48" s="14" t="n">
        <v>500.343869018386</v>
      </c>
      <c r="X48" s="7" t="s">
        <v>195</v>
      </c>
      <c r="Y48" s="7" t="s">
        <v>196</v>
      </c>
      <c r="Z48" s="7" t="s">
        <v>55</v>
      </c>
      <c r="AA48" s="7" t="n">
        <v>0</v>
      </c>
      <c r="AB48" s="7" t="s">
        <v>52</v>
      </c>
      <c r="AC48" s="5" t="n">
        <v>53</v>
      </c>
      <c r="AD48" s="5" t="n">
        <v>55</v>
      </c>
      <c r="AE48" s="8" t="n">
        <v>23.6276386065652</v>
      </c>
      <c r="AF48" s="8" t="n">
        <v>19.4065868751902</v>
      </c>
      <c r="AG48" s="8" t="n">
        <v>42.9396023216739</v>
      </c>
      <c r="AH48" s="5" t="n">
        <v>980</v>
      </c>
      <c r="AI48" s="7" t="s">
        <v>56</v>
      </c>
      <c r="AJ48" s="7" t="n">
        <v>2</v>
      </c>
      <c r="AK48" s="5" t="n">
        <v>2</v>
      </c>
      <c r="AL48" s="5" t="n">
        <v>305381.992</v>
      </c>
      <c r="AM48" s="5" t="n">
        <v>5702901.597</v>
      </c>
      <c r="AN48" s="14" t="n">
        <v>610</v>
      </c>
      <c r="AO48" s="14" t="n">
        <v>200</v>
      </c>
      <c r="AP48" s="15" t="n">
        <f aca="false">M48/AN48</f>
        <v>2.84262295081967</v>
      </c>
      <c r="AQ48" s="16" t="n">
        <f aca="false">LN(AP48)</f>
        <v>1.04472720017313</v>
      </c>
      <c r="AR48" s="14" t="n">
        <f aca="false">R48/AO48</f>
        <v>27.5</v>
      </c>
      <c r="AS48" s="15" t="n">
        <f aca="false">LN(AR48)</f>
        <v>3.31418600467253</v>
      </c>
      <c r="AT48" s="5" t="n">
        <v>12</v>
      </c>
      <c r="AU48" s="15" t="n">
        <v>0.746667</v>
      </c>
      <c r="AV48" s="15" t="n">
        <v>0.765</v>
      </c>
      <c r="AW48" s="15" t="n">
        <v>0.055728</v>
      </c>
      <c r="AX48" s="8" t="n">
        <v>9.27709058468624</v>
      </c>
      <c r="AY48" s="5" t="n">
        <v>51</v>
      </c>
    </row>
    <row r="49" customFormat="false" ht="14.9" hidden="false" customHeight="false" outlineLevel="0" collapsed="false">
      <c r="A49" s="5" t="n">
        <v>645</v>
      </c>
      <c r="B49" s="6" t="s">
        <v>197</v>
      </c>
      <c r="C49" s="7" t="s">
        <v>52</v>
      </c>
      <c r="D49" s="7" t="n">
        <v>0</v>
      </c>
      <c r="E49" s="5" t="n">
        <v>60</v>
      </c>
      <c r="F49" s="8" t="n">
        <v>100</v>
      </c>
      <c r="G49" s="8" t="n">
        <v>16.8661396492104</v>
      </c>
      <c r="H49" s="8" t="n">
        <v>15.5424966805278</v>
      </c>
      <c r="I49" s="8" t="n">
        <v>53.6281646524161</v>
      </c>
      <c r="J49" s="5" t="n">
        <v>2400</v>
      </c>
      <c r="K49" s="9" t="n">
        <v>44110</v>
      </c>
      <c r="L49" s="10" t="n">
        <v>7.8</v>
      </c>
      <c r="M49" s="11" t="n">
        <v>42</v>
      </c>
      <c r="N49" s="12" t="n">
        <f aca="false">LN(M49)</f>
        <v>3.73766961828337</v>
      </c>
      <c r="O49" s="11" t="n">
        <v>22</v>
      </c>
      <c r="P49" s="9" t="n">
        <v>44124</v>
      </c>
      <c r="Q49" s="10" t="n">
        <v>7.9</v>
      </c>
      <c r="R49" s="11" t="n">
        <v>839</v>
      </c>
      <c r="S49" s="12" t="n">
        <f aca="false">LN(R49)</f>
        <v>6.73221070646721</v>
      </c>
      <c r="T49" s="11" t="n">
        <v>10</v>
      </c>
      <c r="U49" s="5" t="n">
        <v>8.92</v>
      </c>
      <c r="V49" s="11" t="n">
        <v>7</v>
      </c>
      <c r="W49" s="14" t="n">
        <v>249.965217712587</v>
      </c>
      <c r="X49" s="7" t="s">
        <v>198</v>
      </c>
      <c r="Y49" s="7" t="s">
        <v>199</v>
      </c>
      <c r="Z49" s="7" t="s">
        <v>63</v>
      </c>
      <c r="AA49" s="7" t="n">
        <v>1</v>
      </c>
      <c r="AB49" s="7" t="s">
        <v>52</v>
      </c>
      <c r="AC49" s="5" t="n">
        <v>61</v>
      </c>
      <c r="AD49" s="5" t="n">
        <v>40</v>
      </c>
      <c r="AE49" s="8" t="n">
        <v>16.8661396492104</v>
      </c>
      <c r="AF49" s="8" t="n">
        <v>15.5424966805278</v>
      </c>
      <c r="AG49" s="8" t="n">
        <v>53.6281646524161</v>
      </c>
      <c r="AH49" s="5" t="n">
        <v>2400</v>
      </c>
      <c r="AI49" s="7" t="s">
        <v>56</v>
      </c>
      <c r="AJ49" s="7" t="n">
        <v>2</v>
      </c>
      <c r="AK49" s="5" t="n">
        <v>2</v>
      </c>
      <c r="AL49" s="5" t="n">
        <v>300319.033</v>
      </c>
      <c r="AM49" s="5" t="n">
        <v>5690779.193</v>
      </c>
      <c r="AN49" s="14" t="n">
        <v>670</v>
      </c>
      <c r="AO49" s="14" t="n">
        <v>280</v>
      </c>
      <c r="AP49" s="18" t="n">
        <f aca="false">M49/AN49</f>
        <v>0.0626865671641791</v>
      </c>
      <c r="AQ49" s="16" t="n">
        <f aca="false">LN(AP49)</f>
        <v>-2.76960809410164</v>
      </c>
      <c r="AR49" s="8" t="n">
        <f aca="false">R49/AO49</f>
        <v>2.99642857142857</v>
      </c>
      <c r="AS49" s="15" t="n">
        <f aca="false">LN(AR49)</f>
        <v>1.09742110329796</v>
      </c>
      <c r="AT49" s="5" t="n">
        <v>13</v>
      </c>
      <c r="AU49" s="15" t="n">
        <v>0.673846</v>
      </c>
      <c r="AV49" s="15" t="n">
        <v>0.67</v>
      </c>
      <c r="AW49" s="15" t="n">
        <v>0.087137</v>
      </c>
      <c r="AX49" s="8" t="n">
        <v>6.68615857038542</v>
      </c>
      <c r="AY49" s="5" t="n">
        <v>161</v>
      </c>
    </row>
    <row r="50" customFormat="false" ht="14.9" hidden="false" customHeight="false" outlineLevel="0" collapsed="false">
      <c r="A50" s="5" t="n">
        <v>503</v>
      </c>
      <c r="B50" s="6" t="s">
        <v>200</v>
      </c>
      <c r="C50" s="7" t="s">
        <v>52</v>
      </c>
      <c r="D50" s="7" t="n">
        <v>0</v>
      </c>
      <c r="E50" s="5" t="n">
        <v>60</v>
      </c>
      <c r="F50" s="8" t="n">
        <v>100</v>
      </c>
      <c r="G50" s="8" t="n">
        <v>20.3076340325504</v>
      </c>
      <c r="H50" s="8" t="n">
        <v>18.3932063585784</v>
      </c>
      <c r="I50" s="8" t="n">
        <v>38.841071827728</v>
      </c>
      <c r="J50" s="5" t="n">
        <v>1200</v>
      </c>
      <c r="K50" s="9" t="n">
        <v>44110</v>
      </c>
      <c r="L50" s="10" t="n">
        <v>9.3</v>
      </c>
      <c r="M50" s="11" t="n">
        <v>3420</v>
      </c>
      <c r="N50" s="12" t="n">
        <f aca="false">LN(M50)</f>
        <v>8.13739583005665</v>
      </c>
      <c r="O50" s="11" t="n">
        <v>10</v>
      </c>
      <c r="P50" s="9" t="n">
        <v>44117</v>
      </c>
      <c r="Q50" s="10" t="n">
        <v>9.4</v>
      </c>
      <c r="R50" s="11" t="n">
        <v>12700</v>
      </c>
      <c r="S50" s="12" t="n">
        <f aca="false">LN(R50)</f>
        <v>9.44935727244668</v>
      </c>
      <c r="T50" s="11" t="n">
        <v>8</v>
      </c>
      <c r="U50" s="5" t="n">
        <v>12.62</v>
      </c>
      <c r="V50" s="11" t="n">
        <v>1</v>
      </c>
      <c r="W50" s="14" t="n">
        <v>500.343869018386</v>
      </c>
      <c r="X50" s="7" t="s">
        <v>201</v>
      </c>
      <c r="Y50" s="7" t="s">
        <v>202</v>
      </c>
      <c r="Z50" s="7" t="s">
        <v>63</v>
      </c>
      <c r="AA50" s="7" t="n">
        <v>1</v>
      </c>
      <c r="AB50" s="7" t="s">
        <v>52</v>
      </c>
      <c r="AC50" s="5" t="n">
        <v>63</v>
      </c>
      <c r="AD50" s="5" t="n">
        <v>58</v>
      </c>
      <c r="AE50" s="8" t="n">
        <v>20.3076340325504</v>
      </c>
      <c r="AF50" s="8" t="n">
        <v>18.3932063585784</v>
      </c>
      <c r="AG50" s="8" t="n">
        <v>38.841071827728</v>
      </c>
      <c r="AH50" s="5" t="n">
        <v>1200</v>
      </c>
      <c r="AI50" s="7" t="s">
        <v>56</v>
      </c>
      <c r="AJ50" s="7" t="n">
        <v>2</v>
      </c>
      <c r="AK50" s="5" t="n">
        <v>2</v>
      </c>
      <c r="AL50" s="5" t="n">
        <v>299152.693</v>
      </c>
      <c r="AM50" s="5" t="n">
        <v>5702069.315</v>
      </c>
      <c r="AN50" s="14" t="n">
        <v>2500</v>
      </c>
      <c r="AO50" s="14" t="n">
        <v>1090</v>
      </c>
      <c r="AP50" s="15" t="n">
        <f aca="false">M50/AN50</f>
        <v>1.368</v>
      </c>
      <c r="AQ50" s="16" t="n">
        <f aca="false">LN(AP50)</f>
        <v>0.313349819200359</v>
      </c>
      <c r="AR50" s="14" t="n">
        <f aca="false">R50/AO50</f>
        <v>11.651376146789</v>
      </c>
      <c r="AS50" s="15" t="n">
        <f aca="false">LN(AR50)</f>
        <v>2.45542429722349</v>
      </c>
      <c r="AT50" s="5" t="n">
        <v>23</v>
      </c>
      <c r="AU50" s="15" t="n">
        <v>2.546522</v>
      </c>
      <c r="AV50" s="15" t="n">
        <v>2.52</v>
      </c>
      <c r="AW50" s="15" t="n">
        <v>0.132324</v>
      </c>
      <c r="AX50" s="8" t="n">
        <v>5.07007438599062</v>
      </c>
      <c r="AY50" s="5" t="n">
        <v>11</v>
      </c>
    </row>
    <row r="51" customFormat="false" ht="14.9" hidden="false" customHeight="false" outlineLevel="0" collapsed="false">
      <c r="A51" s="5" t="n">
        <v>652</v>
      </c>
      <c r="B51" s="6" t="s">
        <v>203</v>
      </c>
      <c r="C51" s="7" t="s">
        <v>52</v>
      </c>
      <c r="D51" s="7" t="n">
        <v>0</v>
      </c>
      <c r="E51" s="5" t="n">
        <v>34</v>
      </c>
      <c r="F51" s="8" t="n">
        <v>100</v>
      </c>
      <c r="G51" s="8" t="n">
        <v>27.188340926819</v>
      </c>
      <c r="H51" s="8" t="n">
        <v>23.2019862616252</v>
      </c>
      <c r="I51" s="8" t="n">
        <v>39.4516916523718</v>
      </c>
      <c r="J51" s="5" t="n">
        <v>680</v>
      </c>
      <c r="K51" s="17" t="n">
        <v>44110</v>
      </c>
      <c r="L51" s="8" t="n">
        <v>6.9</v>
      </c>
      <c r="M51" s="5" t="n">
        <v>279</v>
      </c>
      <c r="N51" s="12" t="n">
        <f aca="false">LN(M51)</f>
        <v>5.63121178182137</v>
      </c>
      <c r="O51" s="5" t="n">
        <v>20</v>
      </c>
      <c r="P51" s="17" t="n">
        <v>44124</v>
      </c>
      <c r="Q51" s="8" t="n">
        <v>7</v>
      </c>
      <c r="R51" s="5" t="n">
        <v>2100</v>
      </c>
      <c r="S51" s="12" t="n">
        <f aca="false">LN(R51)</f>
        <v>7.64969262371151</v>
      </c>
      <c r="T51" s="5" t="n">
        <v>10</v>
      </c>
      <c r="U51" s="5" t="n">
        <v>12.62</v>
      </c>
      <c r="V51" s="11" t="n">
        <v>7</v>
      </c>
      <c r="W51" s="14" t="n">
        <v>500.343869018386</v>
      </c>
      <c r="X51" s="7" t="s">
        <v>204</v>
      </c>
      <c r="Y51" s="7" t="s">
        <v>205</v>
      </c>
      <c r="Z51" s="7" t="s">
        <v>63</v>
      </c>
      <c r="AA51" s="7" t="n">
        <v>1</v>
      </c>
      <c r="AB51" s="7" t="s">
        <v>52</v>
      </c>
      <c r="AC51" s="5" t="n">
        <v>35</v>
      </c>
      <c r="AD51" s="5" t="n">
        <v>68</v>
      </c>
      <c r="AE51" s="8" t="n">
        <v>27.188340926819</v>
      </c>
      <c r="AF51" s="8" t="n">
        <v>23.2019862616252</v>
      </c>
      <c r="AG51" s="8" t="n">
        <v>39.4516916523718</v>
      </c>
      <c r="AH51" s="5" t="n">
        <v>680</v>
      </c>
      <c r="AI51" s="7" t="s">
        <v>56</v>
      </c>
      <c r="AJ51" s="7" t="n">
        <v>2</v>
      </c>
      <c r="AK51" s="5" t="n">
        <v>2</v>
      </c>
      <c r="AL51" s="5" t="n">
        <v>300359.353</v>
      </c>
      <c r="AM51" s="5" t="n">
        <v>5690733.465</v>
      </c>
      <c r="AN51" s="14" t="n">
        <v>1000</v>
      </c>
      <c r="AO51" s="14" t="n">
        <v>410</v>
      </c>
      <c r="AP51" s="15" t="n">
        <f aca="false">M51/AN51</f>
        <v>0.279</v>
      </c>
      <c r="AQ51" s="16" t="n">
        <f aca="false">LN(AP51)</f>
        <v>-1.27654349716077</v>
      </c>
      <c r="AR51" s="8" t="n">
        <f aca="false">R51/AO51</f>
        <v>5.1219512195122</v>
      </c>
      <c r="AS51" s="15" t="n">
        <f aca="false">LN(AR51)</f>
        <v>1.63353546401316</v>
      </c>
      <c r="AT51" s="5" t="n">
        <v>16</v>
      </c>
      <c r="AU51" s="15" t="n">
        <v>1.285</v>
      </c>
      <c r="AV51" s="15" t="n">
        <v>1.295</v>
      </c>
      <c r="AW51" s="15" t="n">
        <v>0.259904</v>
      </c>
      <c r="AX51" s="8" t="n">
        <v>6.74256303662308</v>
      </c>
      <c r="AY51" s="5" t="n">
        <v>161</v>
      </c>
    </row>
    <row r="52" customFormat="false" ht="14.9" hidden="false" customHeight="false" outlineLevel="0" collapsed="false">
      <c r="A52" s="5" t="n">
        <v>656</v>
      </c>
      <c r="B52" s="6" t="s">
        <v>206</v>
      </c>
      <c r="C52" s="7" t="s">
        <v>52</v>
      </c>
      <c r="D52" s="7" t="n">
        <v>0</v>
      </c>
      <c r="E52" s="5" t="n">
        <v>31</v>
      </c>
      <c r="F52" s="8" t="n">
        <v>100</v>
      </c>
      <c r="G52" s="8" t="n">
        <v>16.2262232999748</v>
      </c>
      <c r="H52" s="8" t="n">
        <v>9.93230840650077</v>
      </c>
      <c r="I52" s="8" t="n">
        <v>25.645247240041</v>
      </c>
      <c r="J52" s="5" t="n">
        <v>1240</v>
      </c>
      <c r="K52" s="9" t="n">
        <v>44110</v>
      </c>
      <c r="L52" s="10" t="n">
        <v>10.2</v>
      </c>
      <c r="M52" s="11" t="n">
        <v>60</v>
      </c>
      <c r="N52" s="12" t="n">
        <f aca="false">LN(M52)</f>
        <v>4.0943445622221</v>
      </c>
      <c r="O52" s="11" t="n">
        <v>37</v>
      </c>
      <c r="P52" s="9" t="n">
        <v>44119</v>
      </c>
      <c r="Q52" s="10" t="n">
        <v>10.3</v>
      </c>
      <c r="R52" s="11" t="n">
        <v>789</v>
      </c>
      <c r="S52" s="12" t="n">
        <f aca="false">LN(R52)</f>
        <v>6.67076632084587</v>
      </c>
      <c r="T52" s="11" t="n">
        <v>10</v>
      </c>
      <c r="U52" s="5" t="n">
        <v>8.92</v>
      </c>
      <c r="V52" s="11" t="n">
        <v>7</v>
      </c>
      <c r="W52" s="14" t="n">
        <v>249.965217712587</v>
      </c>
      <c r="X52" s="7" t="s">
        <v>207</v>
      </c>
      <c r="Y52" s="7" t="s">
        <v>208</v>
      </c>
      <c r="Z52" s="7" t="s">
        <v>55</v>
      </c>
      <c r="AA52" s="7" t="n">
        <v>0</v>
      </c>
      <c r="AB52" s="7" t="s">
        <v>52</v>
      </c>
      <c r="AC52" s="5" t="n">
        <v>31</v>
      </c>
      <c r="AD52" s="5" t="n">
        <v>30</v>
      </c>
      <c r="AE52" s="8" t="n">
        <v>16.2262232999748</v>
      </c>
      <c r="AF52" s="8" t="n">
        <v>9.93230840650077</v>
      </c>
      <c r="AG52" s="8" t="n">
        <v>25.645247240041</v>
      </c>
      <c r="AH52" s="5" t="n">
        <v>1240</v>
      </c>
      <c r="AI52" s="7" t="s">
        <v>56</v>
      </c>
      <c r="AJ52" s="7" t="n">
        <v>2</v>
      </c>
      <c r="AK52" s="5" t="n">
        <v>2</v>
      </c>
      <c r="AL52" s="5" t="n">
        <v>300193.092</v>
      </c>
      <c r="AM52" s="5" t="n">
        <v>5690785.353</v>
      </c>
      <c r="AN52" s="14" t="n">
        <v>630</v>
      </c>
      <c r="AO52" s="14" t="n">
        <v>280</v>
      </c>
      <c r="AP52" s="18" t="n">
        <f aca="false">M52/AN52</f>
        <v>0.0952380952380952</v>
      </c>
      <c r="AQ52" s="16" t="n">
        <f aca="false">LN(AP52)</f>
        <v>-2.35137525716348</v>
      </c>
      <c r="AR52" s="8" t="n">
        <f aca="false">R52/AO52</f>
        <v>2.81785714285714</v>
      </c>
      <c r="AS52" s="15" t="n">
        <f aca="false">LN(AR52)</f>
        <v>1.03597671767662</v>
      </c>
      <c r="AT52" s="5" t="n">
        <v>15</v>
      </c>
      <c r="AU52" s="15" t="n">
        <v>0.756</v>
      </c>
      <c r="AV52" s="15" t="n">
        <v>0.75</v>
      </c>
      <c r="AW52" s="15" t="n">
        <v>0.078892</v>
      </c>
      <c r="AX52" s="8" t="n">
        <v>6.64035958522364</v>
      </c>
      <c r="AY52" s="5" t="n">
        <v>162</v>
      </c>
    </row>
    <row r="53" customFormat="false" ht="14.9" hidden="false" customHeight="false" outlineLevel="0" collapsed="false">
      <c r="A53" s="5" t="n">
        <v>662</v>
      </c>
      <c r="B53" s="6" t="s">
        <v>209</v>
      </c>
      <c r="C53" s="7" t="s">
        <v>52</v>
      </c>
      <c r="D53" s="7" t="n">
        <v>0</v>
      </c>
      <c r="E53" s="5" t="n">
        <v>33</v>
      </c>
      <c r="F53" s="8" t="n">
        <v>100</v>
      </c>
      <c r="G53" s="8" t="n">
        <v>16.6433169770932</v>
      </c>
      <c r="H53" s="8" t="n">
        <v>8.50027375227292</v>
      </c>
      <c r="I53" s="8" t="n">
        <v>14.3487810207429</v>
      </c>
      <c r="J53" s="5" t="n">
        <v>660</v>
      </c>
      <c r="K53" s="9" t="n">
        <v>44109</v>
      </c>
      <c r="L53" s="10" t="n">
        <v>8.1</v>
      </c>
      <c r="M53" s="11" t="n">
        <v>35</v>
      </c>
      <c r="N53" s="12" t="n">
        <f aca="false">LN(M53)</f>
        <v>3.55534806148941</v>
      </c>
      <c r="O53" s="11" t="n">
        <v>46</v>
      </c>
      <c r="P53" s="9" t="n">
        <v>44124</v>
      </c>
      <c r="Q53" s="10" t="n">
        <v>8</v>
      </c>
      <c r="R53" s="11" t="n">
        <v>633</v>
      </c>
      <c r="S53" s="12" t="n">
        <f aca="false">LN(R53)</f>
        <v>6.45047042214418</v>
      </c>
      <c r="T53" s="11" t="n">
        <v>10</v>
      </c>
      <c r="U53" s="5" t="n">
        <v>12.62</v>
      </c>
      <c r="V53" s="11" t="n">
        <v>7</v>
      </c>
      <c r="W53" s="14" t="n">
        <v>500.343869018386</v>
      </c>
      <c r="X53" s="7" t="s">
        <v>210</v>
      </c>
      <c r="Y53" s="7" t="s">
        <v>211</v>
      </c>
      <c r="Z53" s="7" t="s">
        <v>55</v>
      </c>
      <c r="AA53" s="7" t="n">
        <v>0</v>
      </c>
      <c r="AB53" s="7" t="s">
        <v>52</v>
      </c>
      <c r="AC53" s="5" t="n">
        <v>33</v>
      </c>
      <c r="AD53" s="5" t="n">
        <v>30</v>
      </c>
      <c r="AE53" s="8" t="n">
        <v>16.6433169770932</v>
      </c>
      <c r="AF53" s="8" t="n">
        <v>8.50027375227292</v>
      </c>
      <c r="AG53" s="8" t="n">
        <v>14.3487810207429</v>
      </c>
      <c r="AH53" s="5" t="n">
        <v>660</v>
      </c>
      <c r="AI53" s="7" t="s">
        <v>56</v>
      </c>
      <c r="AJ53" s="7" t="n">
        <v>2</v>
      </c>
      <c r="AK53" s="5" t="n">
        <v>2</v>
      </c>
      <c r="AL53" s="5" t="n">
        <v>300058.58</v>
      </c>
      <c r="AM53" s="5" t="n">
        <v>5690931.645</v>
      </c>
      <c r="AN53" s="14" t="n">
        <v>560</v>
      </c>
      <c r="AO53" s="14" t="n">
        <v>240</v>
      </c>
      <c r="AP53" s="18" t="n">
        <f aca="false">M53/AN53</f>
        <v>0.0625</v>
      </c>
      <c r="AQ53" s="16" t="n">
        <f aca="false">LN(AP53)</f>
        <v>-2.77258872223978</v>
      </c>
      <c r="AR53" s="8" t="n">
        <f aca="false">R53/AO53</f>
        <v>2.6375</v>
      </c>
      <c r="AS53" s="15" t="n">
        <f aca="false">LN(AR53)</f>
        <v>0.969831498802185</v>
      </c>
      <c r="AT53" s="5" t="n">
        <v>16</v>
      </c>
      <c r="AU53" s="15" t="n">
        <v>0.594375</v>
      </c>
      <c r="AV53" s="15" t="n">
        <v>0.58</v>
      </c>
      <c r="AW53" s="15" t="n">
        <v>0.109085</v>
      </c>
      <c r="AX53" s="8" t="n">
        <v>6.46020278415706</v>
      </c>
      <c r="AY53" s="5" t="n">
        <v>163</v>
      </c>
    </row>
    <row r="54" customFormat="false" ht="14.9" hidden="false" customHeight="false" outlineLevel="0" collapsed="false">
      <c r="A54" s="5" t="n">
        <v>665</v>
      </c>
      <c r="B54" s="6" t="s">
        <v>212</v>
      </c>
      <c r="C54" s="7" t="s">
        <v>52</v>
      </c>
      <c r="D54" s="7" t="n">
        <v>0</v>
      </c>
      <c r="E54" s="5" t="n">
        <v>22</v>
      </c>
      <c r="F54" s="8" t="n">
        <v>100</v>
      </c>
      <c r="G54" s="8" t="n">
        <v>17.0520593264487</v>
      </c>
      <c r="H54" s="8" t="n">
        <v>7.33426825072856</v>
      </c>
      <c r="I54" s="8" t="n">
        <v>5.02489116008767</v>
      </c>
      <c r="J54" s="5" t="n">
        <v>220</v>
      </c>
      <c r="K54" s="17" t="n">
        <v>44109</v>
      </c>
      <c r="L54" s="8" t="n">
        <v>9.2</v>
      </c>
      <c r="M54" s="5" t="n">
        <v>49</v>
      </c>
      <c r="N54" s="12" t="n">
        <f aca="false">LN(M54)</f>
        <v>3.89182029811063</v>
      </c>
      <c r="O54" s="5" t="n">
        <v>18</v>
      </c>
      <c r="P54" s="17" t="n">
        <v>44117</v>
      </c>
      <c r="Q54" s="8" t="n">
        <v>9.2</v>
      </c>
      <c r="R54" s="5" t="n">
        <v>587</v>
      </c>
      <c r="S54" s="12" t="n">
        <f aca="false">LN(R54)</f>
        <v>6.3750248198281</v>
      </c>
      <c r="T54" s="5" t="n">
        <v>8</v>
      </c>
      <c r="U54" s="5" t="n">
        <v>17.84</v>
      </c>
      <c r="V54" s="11" t="n">
        <v>7</v>
      </c>
      <c r="W54" s="14" t="n">
        <v>999.860870850348</v>
      </c>
      <c r="X54" s="7" t="s">
        <v>213</v>
      </c>
      <c r="Y54" s="7" t="s">
        <v>214</v>
      </c>
      <c r="Z54" s="7" t="s">
        <v>55</v>
      </c>
      <c r="AA54" s="7" t="n">
        <v>0</v>
      </c>
      <c r="AB54" s="7" t="s">
        <v>52</v>
      </c>
      <c r="AC54" s="5" t="n">
        <v>22</v>
      </c>
      <c r="AD54" s="5" t="n">
        <v>30</v>
      </c>
      <c r="AE54" s="8" t="n">
        <v>17.0520593264487</v>
      </c>
      <c r="AF54" s="8" t="n">
        <v>7.33426825072856</v>
      </c>
      <c r="AG54" s="8" t="n">
        <v>5.02489116008767</v>
      </c>
      <c r="AH54" s="5" t="n">
        <v>220</v>
      </c>
      <c r="AI54" s="7" t="s">
        <v>56</v>
      </c>
      <c r="AJ54" s="7" t="n">
        <v>2</v>
      </c>
      <c r="AK54" s="5" t="n">
        <v>2</v>
      </c>
      <c r="AL54" s="5" t="n">
        <v>300153.141</v>
      </c>
      <c r="AM54" s="5" t="n">
        <v>5690881.805</v>
      </c>
      <c r="AN54" s="14" t="n">
        <v>650</v>
      </c>
      <c r="AO54" s="14" t="n">
        <v>280</v>
      </c>
      <c r="AP54" s="18" t="n">
        <f aca="false">M54/AN54</f>
        <v>0.0753846153846154</v>
      </c>
      <c r="AQ54" s="16" t="n">
        <f aca="false">LN(AP54)</f>
        <v>-2.58515206477906</v>
      </c>
      <c r="AR54" s="8" t="n">
        <f aca="false">R54/AO54</f>
        <v>2.09642857142857</v>
      </c>
      <c r="AS54" s="15" t="n">
        <f aca="false">LN(AR54)</f>
        <v>0.740235216658847</v>
      </c>
      <c r="AT54" s="5" t="n">
        <v>18</v>
      </c>
      <c r="AU54" s="15" t="n">
        <v>0.73</v>
      </c>
      <c r="AV54" s="15" t="n">
        <v>0.73</v>
      </c>
      <c r="AW54" s="15" t="n">
        <v>0.055176</v>
      </c>
      <c r="AX54" s="8" t="n">
        <v>6.53628905189403</v>
      </c>
      <c r="AY54" s="5" t="n">
        <v>162</v>
      </c>
    </row>
    <row r="55" customFormat="false" ht="14.9" hidden="false" customHeight="false" outlineLevel="0" collapsed="false">
      <c r="A55" s="5" t="n">
        <v>668</v>
      </c>
      <c r="B55" s="6" t="s">
        <v>215</v>
      </c>
      <c r="C55" s="7" t="s">
        <v>52</v>
      </c>
      <c r="D55" s="7" t="n">
        <v>0</v>
      </c>
      <c r="E55" s="5" t="n">
        <v>23</v>
      </c>
      <c r="F55" s="8" t="n">
        <v>100</v>
      </c>
      <c r="G55" s="8" t="n">
        <v>14.1820462128216</v>
      </c>
      <c r="H55" s="8" t="n">
        <v>6.89346252130436</v>
      </c>
      <c r="I55" s="8" t="n">
        <v>3.63375746546281</v>
      </c>
      <c r="J55" s="5" t="n">
        <v>230</v>
      </c>
      <c r="K55" s="9" t="n">
        <v>44109</v>
      </c>
      <c r="L55" s="10" t="n">
        <v>8.4</v>
      </c>
      <c r="M55" s="11" t="n">
        <v>52</v>
      </c>
      <c r="N55" s="12" t="n">
        <f aca="false">LN(M55)</f>
        <v>3.95124371858143</v>
      </c>
      <c r="O55" s="11" t="n">
        <v>46</v>
      </c>
      <c r="P55" s="9" t="n">
        <v>44124</v>
      </c>
      <c r="Q55" s="10" t="n">
        <v>9.4</v>
      </c>
      <c r="R55" s="11" t="n">
        <v>435</v>
      </c>
      <c r="S55" s="12" t="n">
        <f aca="false">LN(R55)</f>
        <v>6.07534603108868</v>
      </c>
      <c r="T55" s="11" t="n">
        <v>10</v>
      </c>
      <c r="U55" s="5" t="n">
        <v>17.84</v>
      </c>
      <c r="V55" s="11" t="n">
        <v>7</v>
      </c>
      <c r="W55" s="14" t="n">
        <v>999.860870850348</v>
      </c>
      <c r="X55" s="7" t="s">
        <v>216</v>
      </c>
      <c r="Y55" s="7" t="s">
        <v>217</v>
      </c>
      <c r="Z55" s="7" t="s">
        <v>55</v>
      </c>
      <c r="AA55" s="7" t="n">
        <v>0</v>
      </c>
      <c r="AB55" s="7" t="s">
        <v>52</v>
      </c>
      <c r="AC55" s="5" t="n">
        <v>23</v>
      </c>
      <c r="AD55" s="5" t="n">
        <v>35</v>
      </c>
      <c r="AE55" s="8" t="n">
        <v>14.1820462128216</v>
      </c>
      <c r="AF55" s="8" t="n">
        <v>6.89346252130436</v>
      </c>
      <c r="AG55" s="8" t="n">
        <v>3.63375746546281</v>
      </c>
      <c r="AH55" s="5" t="n">
        <v>230</v>
      </c>
      <c r="AI55" s="7" t="s">
        <v>56</v>
      </c>
      <c r="AJ55" s="7" t="n">
        <v>2</v>
      </c>
      <c r="AK55" s="5" t="n">
        <v>2</v>
      </c>
      <c r="AL55" s="5" t="n">
        <v>300301.55</v>
      </c>
      <c r="AM55" s="5" t="n">
        <v>5691031.5</v>
      </c>
      <c r="AN55" s="14" t="n">
        <v>679.91160435</v>
      </c>
      <c r="AO55" s="14" t="n">
        <v>290</v>
      </c>
      <c r="AP55" s="18" t="n">
        <f aca="false">M55/AN55</f>
        <v>0.0764805302149716</v>
      </c>
      <c r="AQ55" s="16" t="n">
        <f aca="false">LN(AP55)</f>
        <v>-2.57071907753588</v>
      </c>
      <c r="AR55" s="8" t="n">
        <f aca="false">R55/AO55</f>
        <v>1.5</v>
      </c>
      <c r="AS55" s="15" t="n">
        <f aca="false">LN(AR55)</f>
        <v>0.405465108108164</v>
      </c>
      <c r="AT55" s="5" t="n">
        <v>32</v>
      </c>
      <c r="AU55" s="15" t="n">
        <v>0.796875</v>
      </c>
      <c r="AV55" s="15" t="n">
        <v>0.8</v>
      </c>
      <c r="AW55" s="15" t="n">
        <v>0.054339</v>
      </c>
      <c r="AX55" s="8" t="n">
        <v>6.44224234661348</v>
      </c>
      <c r="AY55" s="5" t="n">
        <v>160</v>
      </c>
    </row>
    <row r="56" customFormat="false" ht="14.9" hidden="false" customHeight="false" outlineLevel="0" collapsed="false">
      <c r="A56" s="5" t="n">
        <v>671</v>
      </c>
      <c r="B56" s="6" t="s">
        <v>218</v>
      </c>
      <c r="C56" s="7" t="s">
        <v>52</v>
      </c>
      <c r="D56" s="7" t="n">
        <v>0</v>
      </c>
      <c r="E56" s="5" t="n">
        <v>31</v>
      </c>
      <c r="F56" s="8" t="n">
        <v>98.9802339653086</v>
      </c>
      <c r="G56" s="8" t="n">
        <v>44.4837773982033</v>
      </c>
      <c r="H56" s="8" t="n">
        <v>31.2627642652839</v>
      </c>
      <c r="I56" s="8" t="n">
        <v>48.1853835287257</v>
      </c>
      <c r="J56" s="5" t="n">
        <v>310</v>
      </c>
      <c r="K56" s="9" t="n">
        <v>44110</v>
      </c>
      <c r="L56" s="10" t="n">
        <v>10</v>
      </c>
      <c r="M56" s="11" t="n">
        <v>1040</v>
      </c>
      <c r="N56" s="12" t="n">
        <f aca="false">LN(M56)</f>
        <v>6.94697599213542</v>
      </c>
      <c r="O56" s="11" t="n">
        <v>10</v>
      </c>
      <c r="P56" s="9" t="n">
        <v>44117</v>
      </c>
      <c r="Q56" s="10" t="n">
        <v>10.2</v>
      </c>
      <c r="R56" s="11" t="n">
        <v>2270</v>
      </c>
      <c r="S56" s="12" t="n">
        <f aca="false">LN(R56)</f>
        <v>7.72753511047545</v>
      </c>
      <c r="T56" s="11" t="n">
        <v>8</v>
      </c>
      <c r="U56" s="5" t="n">
        <v>17.84</v>
      </c>
      <c r="V56" s="11" t="n">
        <v>8</v>
      </c>
      <c r="W56" s="14" t="n">
        <v>999.860870850348</v>
      </c>
      <c r="X56" s="7" t="s">
        <v>219</v>
      </c>
      <c r="Y56" s="7" t="s">
        <v>220</v>
      </c>
      <c r="Z56" s="7" t="s">
        <v>55</v>
      </c>
      <c r="AA56" s="7" t="n">
        <v>0</v>
      </c>
      <c r="AB56" s="7" t="s">
        <v>52</v>
      </c>
      <c r="AC56" s="5" t="n">
        <v>37</v>
      </c>
      <c r="AD56" s="5" t="n">
        <v>120</v>
      </c>
      <c r="AE56" s="8" t="n">
        <v>41.4912976150153</v>
      </c>
      <c r="AF56" s="8" t="n">
        <v>31.1452196633179</v>
      </c>
      <c r="AG56" s="8" t="n">
        <v>48.6818242373665</v>
      </c>
      <c r="AH56" s="5" t="n">
        <v>360</v>
      </c>
      <c r="AI56" s="7" t="s">
        <v>56</v>
      </c>
      <c r="AJ56" s="7" t="n">
        <v>2</v>
      </c>
      <c r="AK56" s="5" t="n">
        <v>2</v>
      </c>
      <c r="AL56" s="5" t="n">
        <v>289490.778</v>
      </c>
      <c r="AM56" s="5" t="n">
        <v>5695898.373</v>
      </c>
      <c r="AN56" s="14" t="n">
        <v>1940</v>
      </c>
      <c r="AO56" s="14" t="n">
        <v>400</v>
      </c>
      <c r="AP56" s="15" t="n">
        <f aca="false">M56/AN56</f>
        <v>0.536082474226804</v>
      </c>
      <c r="AQ56" s="16" t="n">
        <f aca="false">LN(AP56)</f>
        <v>-0.623467259921955</v>
      </c>
      <c r="AR56" s="8" t="n">
        <f aca="false">R56/AO56</f>
        <v>5.675</v>
      </c>
      <c r="AS56" s="15" t="n">
        <f aca="false">LN(AR56)</f>
        <v>1.73607056336747</v>
      </c>
      <c r="AT56" s="5" t="n">
        <v>111</v>
      </c>
      <c r="AU56" s="15" t="n">
        <v>2.332342</v>
      </c>
      <c r="AV56" s="15" t="n">
        <v>2.38</v>
      </c>
      <c r="AW56" s="15" t="n">
        <v>0.26743</v>
      </c>
      <c r="AX56" s="8" t="n">
        <v>8.73441204629218</v>
      </c>
      <c r="AY56" s="5" t="n">
        <v>262</v>
      </c>
    </row>
    <row r="57" customFormat="false" ht="14.9" hidden="false" customHeight="false" outlineLevel="0" collapsed="false">
      <c r="A57" s="5" t="n">
        <v>676</v>
      </c>
      <c r="B57" s="6" t="s">
        <v>221</v>
      </c>
      <c r="C57" s="7" t="s">
        <v>52</v>
      </c>
      <c r="D57" s="7" t="n">
        <v>0</v>
      </c>
      <c r="E57" s="5" t="n">
        <v>43</v>
      </c>
      <c r="F57" s="8" t="n">
        <v>99.2958845328652</v>
      </c>
      <c r="G57" s="8" t="n">
        <v>34.4082872656885</v>
      </c>
      <c r="H57" s="8" t="n">
        <v>29.8477498208874</v>
      </c>
      <c r="I57" s="8" t="n">
        <v>39.9893987914497</v>
      </c>
      <c r="J57" s="5" t="n">
        <v>430</v>
      </c>
      <c r="K57" s="9" t="n">
        <v>44109</v>
      </c>
      <c r="L57" s="10" t="n">
        <v>9.3</v>
      </c>
      <c r="M57" s="11" t="n">
        <v>979</v>
      </c>
      <c r="N57" s="12" t="n">
        <f aca="false">LN(M57)</f>
        <v>6.88653164253051</v>
      </c>
      <c r="O57" s="11" t="n">
        <v>15</v>
      </c>
      <c r="P57" s="9" t="n">
        <v>44124</v>
      </c>
      <c r="Q57" s="10" t="n">
        <v>9.5</v>
      </c>
      <c r="R57" s="11" t="n">
        <v>3300</v>
      </c>
      <c r="S57" s="12" t="n">
        <f aca="false">LN(R57)</f>
        <v>8.10167774745457</v>
      </c>
      <c r="T57" s="11" t="n">
        <v>8</v>
      </c>
      <c r="U57" s="5" t="n">
        <v>17.84</v>
      </c>
      <c r="V57" s="11" t="n">
        <v>8</v>
      </c>
      <c r="W57" s="14" t="n">
        <v>999.860870850348</v>
      </c>
      <c r="X57" s="7" t="s">
        <v>222</v>
      </c>
      <c r="Y57" s="7" t="s">
        <v>223</v>
      </c>
      <c r="Z57" s="7" t="s">
        <v>63</v>
      </c>
      <c r="AA57" s="7" t="n">
        <v>1</v>
      </c>
      <c r="AB57" s="7" t="s">
        <v>52</v>
      </c>
      <c r="AC57" s="5" t="n">
        <v>45</v>
      </c>
      <c r="AD57" s="5" t="n">
        <v>95</v>
      </c>
      <c r="AE57" s="8" t="n">
        <v>34.1354254803902</v>
      </c>
      <c r="AF57" s="8" t="n">
        <v>29.8058597134234</v>
      </c>
      <c r="AG57" s="8" t="n">
        <v>40.2729669810372</v>
      </c>
      <c r="AH57" s="5" t="n">
        <v>440</v>
      </c>
      <c r="AI57" s="7" t="s">
        <v>56</v>
      </c>
      <c r="AJ57" s="7" t="n">
        <v>2</v>
      </c>
      <c r="AK57" s="5" t="n">
        <v>2</v>
      </c>
      <c r="AL57" s="5" t="n">
        <v>289288.308</v>
      </c>
      <c r="AM57" s="5" t="n">
        <v>5695846.542</v>
      </c>
      <c r="AN57" s="14" t="n">
        <v>1600</v>
      </c>
      <c r="AO57" s="14" t="n">
        <v>330</v>
      </c>
      <c r="AP57" s="15" t="n">
        <f aca="false">M57/AN57</f>
        <v>0.611875</v>
      </c>
      <c r="AQ57" s="16" t="n">
        <f aca="false">LN(AP57)</f>
        <v>-0.491227265697362</v>
      </c>
      <c r="AR57" s="14" t="n">
        <f aca="false">R57/AO57</f>
        <v>10</v>
      </c>
      <c r="AS57" s="15" t="n">
        <f aca="false">LN(AR57)</f>
        <v>2.30258509299405</v>
      </c>
      <c r="AT57" s="5" t="n">
        <v>15</v>
      </c>
      <c r="AU57" s="15" t="n">
        <v>1.886667</v>
      </c>
      <c r="AV57" s="15" t="n">
        <v>1.85</v>
      </c>
      <c r="AW57" s="15" t="n">
        <v>0.220565</v>
      </c>
      <c r="AX57" s="8" t="n">
        <v>8.94212093994634</v>
      </c>
      <c r="AY57" s="5" t="n">
        <v>262</v>
      </c>
    </row>
    <row r="58" customFormat="false" ht="14.9" hidden="false" customHeight="false" outlineLevel="0" collapsed="false">
      <c r="A58" s="5" t="n">
        <v>507</v>
      </c>
      <c r="B58" s="6" t="s">
        <v>224</v>
      </c>
      <c r="C58" s="7" t="s">
        <v>52</v>
      </c>
      <c r="D58" s="7" t="n">
        <v>0</v>
      </c>
      <c r="E58" s="5" t="n">
        <v>50</v>
      </c>
      <c r="F58" s="8" t="n">
        <v>100</v>
      </c>
      <c r="G58" s="8" t="n">
        <v>17.5408095594246</v>
      </c>
      <c r="H58" s="8" t="n">
        <v>19.9383170032244</v>
      </c>
      <c r="I58" s="8" t="n">
        <v>48.3369864666493</v>
      </c>
      <c r="J58" s="5" t="n">
        <v>2000</v>
      </c>
      <c r="K58" s="9" t="n">
        <v>44145</v>
      </c>
      <c r="L58" s="10" t="n">
        <v>10.3</v>
      </c>
      <c r="M58" s="11" t="n">
        <v>2200</v>
      </c>
      <c r="N58" s="12" t="n">
        <f aca="false">LN(M58)</f>
        <v>7.69621263934641</v>
      </c>
      <c r="O58" s="11" t="n">
        <v>10</v>
      </c>
      <c r="P58" s="9" t="n">
        <v>44153</v>
      </c>
      <c r="Q58" s="10" t="n">
        <v>10.4</v>
      </c>
      <c r="R58" s="11" t="n">
        <v>12100</v>
      </c>
      <c r="S58" s="12" t="n">
        <f aca="false">LN(R58)</f>
        <v>9.40096073158483</v>
      </c>
      <c r="T58" s="11" t="n">
        <v>7</v>
      </c>
      <c r="U58" s="5" t="n">
        <v>8.92</v>
      </c>
      <c r="V58" s="11" t="n">
        <v>1</v>
      </c>
      <c r="W58" s="14" t="n">
        <v>249.965217712587</v>
      </c>
      <c r="X58" s="7" t="s">
        <v>225</v>
      </c>
      <c r="Y58" s="7" t="s">
        <v>226</v>
      </c>
      <c r="Z58" s="7" t="s">
        <v>63</v>
      </c>
      <c r="AA58" s="7" t="n">
        <v>1</v>
      </c>
      <c r="AB58" s="7" t="s">
        <v>52</v>
      </c>
      <c r="AC58" s="5" t="n">
        <v>53</v>
      </c>
      <c r="AD58" s="5" t="n">
        <v>58</v>
      </c>
      <c r="AE58" s="8" t="n">
        <v>17.5408095594246</v>
      </c>
      <c r="AF58" s="8" t="n">
        <v>19.9383170032244</v>
      </c>
      <c r="AG58" s="8" t="n">
        <v>48.3369864666493</v>
      </c>
      <c r="AH58" s="5" t="n">
        <v>2000</v>
      </c>
      <c r="AI58" s="7" t="s">
        <v>56</v>
      </c>
      <c r="AJ58" s="7" t="n">
        <v>2</v>
      </c>
      <c r="AK58" s="5" t="n">
        <v>2</v>
      </c>
      <c r="AL58" s="5" t="n">
        <v>299249.689</v>
      </c>
      <c r="AM58" s="5" t="n">
        <v>5702063.265</v>
      </c>
      <c r="AN58" s="14" t="n">
        <v>2400</v>
      </c>
      <c r="AO58" s="14" t="n">
        <v>720</v>
      </c>
      <c r="AP58" s="15" t="n">
        <f aca="false">M58/AN58</f>
        <v>0.916666666666667</v>
      </c>
      <c r="AQ58" s="16" t="n">
        <f aca="false">LN(AP58)</f>
        <v>-0.0870113769896298</v>
      </c>
      <c r="AR58" s="14" t="n">
        <f aca="false">R58/AO58</f>
        <v>16.8055555555556</v>
      </c>
      <c r="AS58" s="15" t="n">
        <f aca="false">LN(AR58)</f>
        <v>2.82170951957473</v>
      </c>
      <c r="AT58" s="5" t="n">
        <v>24</v>
      </c>
      <c r="AU58" s="15" t="n">
        <v>2.143333</v>
      </c>
      <c r="AV58" s="15" t="n">
        <v>2.125</v>
      </c>
      <c r="AW58" s="15" t="n">
        <v>0.113639</v>
      </c>
      <c r="AX58" s="8" t="n">
        <v>5.0843926727725</v>
      </c>
      <c r="AY58" s="5" t="n">
        <v>13</v>
      </c>
    </row>
    <row r="59" customFormat="false" ht="14.9" hidden="false" customHeight="false" outlineLevel="0" collapsed="false">
      <c r="A59" s="5" t="n">
        <v>708</v>
      </c>
      <c r="B59" s="6" t="s">
        <v>227</v>
      </c>
      <c r="C59" s="7" t="s">
        <v>52</v>
      </c>
      <c r="D59" s="7" t="n">
        <v>0</v>
      </c>
      <c r="E59" s="5" t="n">
        <v>59</v>
      </c>
      <c r="F59" s="8" t="n">
        <v>100</v>
      </c>
      <c r="G59" s="8" t="n">
        <v>16.7807395647207</v>
      </c>
      <c r="H59" s="8" t="n">
        <v>21.7067989728306</v>
      </c>
      <c r="I59" s="8" t="n">
        <v>52.2016831225241</v>
      </c>
      <c r="J59" s="5" t="n">
        <v>2360</v>
      </c>
      <c r="K59" s="9" t="n">
        <v>44110</v>
      </c>
      <c r="L59" s="10" t="n">
        <v>8.6</v>
      </c>
      <c r="M59" s="11" t="n">
        <v>1600</v>
      </c>
      <c r="N59" s="12" t="n">
        <f aca="false">LN(M59)</f>
        <v>7.37775890822787</v>
      </c>
      <c r="O59" s="11" t="n">
        <v>13</v>
      </c>
      <c r="P59" s="9" t="n">
        <v>44117</v>
      </c>
      <c r="Q59" s="10" t="n">
        <v>8.7</v>
      </c>
      <c r="R59" s="11" t="n">
        <v>4780</v>
      </c>
      <c r="S59" s="12" t="n">
        <f aca="false">LN(R59)</f>
        <v>8.4721958254855</v>
      </c>
      <c r="T59" s="11" t="n">
        <v>8</v>
      </c>
      <c r="U59" s="5" t="n">
        <v>8.92</v>
      </c>
      <c r="V59" s="11" t="n">
        <v>5</v>
      </c>
      <c r="W59" s="14" t="n">
        <v>249.965217712587</v>
      </c>
      <c r="X59" s="7" t="s">
        <v>228</v>
      </c>
      <c r="Y59" s="7" t="s">
        <v>229</v>
      </c>
      <c r="Z59" s="7" t="s">
        <v>63</v>
      </c>
      <c r="AA59" s="7" t="n">
        <v>1</v>
      </c>
      <c r="AB59" s="7" t="s">
        <v>52</v>
      </c>
      <c r="AC59" s="5" t="n">
        <v>60</v>
      </c>
      <c r="AD59" s="5" t="n">
        <v>58</v>
      </c>
      <c r="AE59" s="8" t="n">
        <v>16.7807395647207</v>
      </c>
      <c r="AF59" s="8" t="n">
        <v>21.7067989728306</v>
      </c>
      <c r="AG59" s="8" t="n">
        <v>52.2016831225241</v>
      </c>
      <c r="AH59" s="5" t="n">
        <v>2360</v>
      </c>
      <c r="AI59" s="7" t="s">
        <v>56</v>
      </c>
      <c r="AJ59" s="7" t="n">
        <v>2</v>
      </c>
      <c r="AK59" s="5" t="n">
        <v>2</v>
      </c>
      <c r="AL59" s="5" t="n">
        <v>305116.413</v>
      </c>
      <c r="AM59" s="5" t="n">
        <v>5703117.135</v>
      </c>
      <c r="AN59" s="14" t="n">
        <v>1010</v>
      </c>
      <c r="AO59" s="14" t="n">
        <v>190</v>
      </c>
      <c r="AP59" s="15" t="n">
        <f aca="false">M59/AN59</f>
        <v>1.58415841584158</v>
      </c>
      <c r="AQ59" s="16" t="n">
        <f aca="false">LN(AP59)</f>
        <v>0.460053298392568</v>
      </c>
      <c r="AR59" s="14" t="n">
        <f aca="false">R59/AO59</f>
        <v>25.1578947368421</v>
      </c>
      <c r="AS59" s="15" t="n">
        <f aca="false">LN(AR59)</f>
        <v>3.22517175332502</v>
      </c>
      <c r="AT59" s="5" t="n">
        <v>33</v>
      </c>
      <c r="AU59" s="15" t="n">
        <v>0.817879</v>
      </c>
      <c r="AV59" s="15" t="n">
        <v>0.82</v>
      </c>
      <c r="AW59" s="15" t="n">
        <v>0.079953</v>
      </c>
      <c r="AX59" s="8" t="n">
        <v>9.21066322437159</v>
      </c>
      <c r="AY59" s="5" t="n">
        <v>49</v>
      </c>
    </row>
    <row r="60" customFormat="false" ht="14.9" hidden="false" customHeight="false" outlineLevel="0" collapsed="false">
      <c r="A60" s="5" t="n">
        <v>724</v>
      </c>
      <c r="B60" s="6" t="s">
        <v>230</v>
      </c>
      <c r="C60" s="7" t="s">
        <v>52</v>
      </c>
      <c r="D60" s="7" t="n">
        <v>0</v>
      </c>
      <c r="E60" s="5" t="n">
        <v>57</v>
      </c>
      <c r="F60" s="8" t="n">
        <v>100</v>
      </c>
      <c r="G60" s="8" t="n">
        <v>22.560250714048</v>
      </c>
      <c r="H60" s="8" t="n">
        <v>23.7615370115675</v>
      </c>
      <c r="I60" s="8" t="n">
        <v>45.5390532975354</v>
      </c>
      <c r="J60" s="5" t="n">
        <v>1140</v>
      </c>
      <c r="K60" s="9" t="n">
        <v>44111</v>
      </c>
      <c r="L60" s="10" t="n">
        <v>9.9</v>
      </c>
      <c r="M60" s="11" t="n">
        <v>910</v>
      </c>
      <c r="N60" s="12" t="n">
        <f aca="false">LN(M60)</f>
        <v>6.8134445995109</v>
      </c>
      <c r="O60" s="11" t="n">
        <v>14</v>
      </c>
      <c r="P60" s="9" t="n">
        <v>44124</v>
      </c>
      <c r="Q60" s="10" t="n">
        <v>10</v>
      </c>
      <c r="R60" s="11" t="n">
        <v>2600</v>
      </c>
      <c r="S60" s="12" t="n">
        <f aca="false">LN(R60)</f>
        <v>7.86326672400957</v>
      </c>
      <c r="T60" s="11" t="n">
        <v>8</v>
      </c>
      <c r="U60" s="5" t="n">
        <v>12.62</v>
      </c>
      <c r="V60" s="11" t="n">
        <v>6</v>
      </c>
      <c r="W60" s="14" t="n">
        <v>500.343869018386</v>
      </c>
      <c r="X60" s="7" t="s">
        <v>231</v>
      </c>
      <c r="Y60" s="7" t="s">
        <v>232</v>
      </c>
      <c r="Z60" s="7" t="s">
        <v>63</v>
      </c>
      <c r="AA60" s="7" t="n">
        <v>1</v>
      </c>
      <c r="AB60" s="7" t="s">
        <v>52</v>
      </c>
      <c r="AC60" s="5" t="n">
        <v>59</v>
      </c>
      <c r="AD60" s="5" t="n">
        <v>60</v>
      </c>
      <c r="AE60" s="8" t="n">
        <v>22.560250714048</v>
      </c>
      <c r="AF60" s="8" t="n">
        <v>23.7615370115675</v>
      </c>
      <c r="AG60" s="8" t="n">
        <v>45.5390532975354</v>
      </c>
      <c r="AH60" s="5" t="n">
        <v>1140</v>
      </c>
      <c r="AI60" s="7" t="s">
        <v>56</v>
      </c>
      <c r="AJ60" s="7" t="n">
        <v>2</v>
      </c>
      <c r="AK60" s="5" t="n">
        <v>2</v>
      </c>
      <c r="AL60" s="5" t="n">
        <v>305839.655</v>
      </c>
      <c r="AM60" s="5" t="n">
        <v>5698110.926</v>
      </c>
      <c r="AN60" s="14" t="n">
        <v>540</v>
      </c>
      <c r="AO60" s="14" t="n">
        <v>140</v>
      </c>
      <c r="AP60" s="15" t="n">
        <f aca="false">M60/AN60</f>
        <v>1.68518518518519</v>
      </c>
      <c r="AQ60" s="16" t="n">
        <f aca="false">LN(AP60)</f>
        <v>0.521875459952576</v>
      </c>
      <c r="AR60" s="14" t="n">
        <f aca="false">R60/AO60</f>
        <v>18.5714285714286</v>
      </c>
      <c r="AS60" s="15" t="n">
        <f aca="false">LN(AR60)</f>
        <v>2.92162430140027</v>
      </c>
      <c r="AT60" s="5" t="n">
        <v>161</v>
      </c>
      <c r="AU60" s="15" t="n">
        <v>0.653851</v>
      </c>
      <c r="AV60" s="15" t="n">
        <v>0.65</v>
      </c>
      <c r="AW60" s="15" t="n">
        <v>0.060986</v>
      </c>
      <c r="AX60" s="8" t="n">
        <v>7.76362306043392</v>
      </c>
      <c r="AY60" s="5" t="n">
        <v>83</v>
      </c>
    </row>
    <row r="61" customFormat="false" ht="14.9" hidden="false" customHeight="false" outlineLevel="0" collapsed="false">
      <c r="A61" s="5" t="n">
        <v>511</v>
      </c>
      <c r="B61" s="6" t="s">
        <v>233</v>
      </c>
      <c r="C61" s="7" t="s">
        <v>52</v>
      </c>
      <c r="D61" s="7" t="n">
        <v>0</v>
      </c>
      <c r="E61" s="5" t="n">
        <v>45</v>
      </c>
      <c r="F61" s="8" t="n">
        <v>100</v>
      </c>
      <c r="G61" s="8" t="n">
        <v>23.1319884335283</v>
      </c>
      <c r="H61" s="8" t="n">
        <v>17.3651617576589</v>
      </c>
      <c r="I61" s="8" t="n">
        <v>18.9142338977257</v>
      </c>
      <c r="J61" s="5" t="n">
        <v>450</v>
      </c>
      <c r="K61" s="17" t="n">
        <v>44110</v>
      </c>
      <c r="L61" s="8" t="n">
        <v>11.9</v>
      </c>
      <c r="M61" s="5" t="n">
        <v>3360</v>
      </c>
      <c r="N61" s="12" t="n">
        <f aca="false">LN(M61)</f>
        <v>8.11969625295725</v>
      </c>
      <c r="O61" s="5" t="n">
        <v>8</v>
      </c>
      <c r="P61" s="17" t="n">
        <v>44117</v>
      </c>
      <c r="Q61" s="8" t="n">
        <v>12</v>
      </c>
      <c r="R61" s="5" t="n">
        <v>13000</v>
      </c>
      <c r="S61" s="12" t="n">
        <f aca="false">LN(R61)</f>
        <v>9.47270463644367</v>
      </c>
      <c r="T61" s="5" t="n">
        <v>8</v>
      </c>
      <c r="U61" s="5" t="n">
        <v>17.84</v>
      </c>
      <c r="V61" s="11" t="n">
        <v>1</v>
      </c>
      <c r="W61" s="14" t="n">
        <v>999.860870850348</v>
      </c>
      <c r="X61" s="7" t="s">
        <v>234</v>
      </c>
      <c r="Y61" s="7" t="s">
        <v>235</v>
      </c>
      <c r="Z61" s="7" t="s">
        <v>63</v>
      </c>
      <c r="AA61" s="7" t="n">
        <v>1</v>
      </c>
      <c r="AB61" s="7" t="s">
        <v>52</v>
      </c>
      <c r="AC61" s="5" t="n">
        <v>46</v>
      </c>
      <c r="AD61" s="5" t="n">
        <v>58</v>
      </c>
      <c r="AE61" s="8" t="n">
        <v>23.1319884335283</v>
      </c>
      <c r="AF61" s="8" t="n">
        <v>17.3651617576589</v>
      </c>
      <c r="AG61" s="8" t="n">
        <v>18.9142338977257</v>
      </c>
      <c r="AH61" s="5" t="n">
        <v>450</v>
      </c>
      <c r="AI61" s="7" t="s">
        <v>56</v>
      </c>
      <c r="AJ61" s="7" t="n">
        <v>2</v>
      </c>
      <c r="AK61" s="5" t="n">
        <v>2</v>
      </c>
      <c r="AL61" s="5" t="n">
        <v>299324.039</v>
      </c>
      <c r="AM61" s="5" t="n">
        <v>5702085.293</v>
      </c>
      <c r="AN61" s="14" t="n">
        <v>1660</v>
      </c>
      <c r="AO61" s="14" t="n">
        <v>680</v>
      </c>
      <c r="AP61" s="15" t="n">
        <f aca="false">M61/AN61</f>
        <v>2.02409638554217</v>
      </c>
      <c r="AQ61" s="16" t="n">
        <f aca="false">LN(AP61)</f>
        <v>0.705123371606661</v>
      </c>
      <c r="AR61" s="14" t="n">
        <f aca="false">R61/AO61</f>
        <v>19.1176470588235</v>
      </c>
      <c r="AS61" s="15" t="n">
        <f aca="false">LN(AR61)</f>
        <v>2.95061183827352</v>
      </c>
      <c r="AT61" s="5" t="n">
        <v>34</v>
      </c>
      <c r="AU61" s="15" t="n">
        <v>2.042353</v>
      </c>
      <c r="AV61" s="15" t="n">
        <v>2.025</v>
      </c>
      <c r="AW61" s="15" t="n">
        <v>0.179625</v>
      </c>
      <c r="AX61" s="8" t="n">
        <v>5.1225377409411</v>
      </c>
      <c r="AY61" s="5" t="n">
        <v>13</v>
      </c>
    </row>
    <row r="62" customFormat="false" ht="14.9" hidden="false" customHeight="false" outlineLevel="0" collapsed="false">
      <c r="A62" s="5" t="n">
        <v>759</v>
      </c>
      <c r="B62" s="6" t="s">
        <v>236</v>
      </c>
      <c r="C62" s="7" t="s">
        <v>52</v>
      </c>
      <c r="D62" s="7" t="n">
        <v>0</v>
      </c>
      <c r="E62" s="5" t="n">
        <v>42</v>
      </c>
      <c r="F62" s="8" t="n">
        <v>100</v>
      </c>
      <c r="G62" s="8" t="n">
        <v>17.1831866882108</v>
      </c>
      <c r="H62" s="8" t="n">
        <v>21.4145618687644</v>
      </c>
      <c r="I62" s="8" t="n">
        <v>38.9643115687024</v>
      </c>
      <c r="J62" s="5" t="n">
        <v>1680</v>
      </c>
      <c r="K62" s="9" t="n">
        <v>44109</v>
      </c>
      <c r="L62" s="10" t="n">
        <v>8.2</v>
      </c>
      <c r="M62" s="11" t="n">
        <v>620</v>
      </c>
      <c r="N62" s="12" t="n">
        <f aca="false">LN(M62)</f>
        <v>6.42971947803914</v>
      </c>
      <c r="O62" s="11" t="n">
        <v>15</v>
      </c>
      <c r="P62" s="9" t="n">
        <v>44117</v>
      </c>
      <c r="Q62" s="10" t="n">
        <v>8.3</v>
      </c>
      <c r="R62" s="11" t="n">
        <v>7000</v>
      </c>
      <c r="S62" s="12" t="n">
        <f aca="false">LN(R62)</f>
        <v>8.85366542803745</v>
      </c>
      <c r="T62" s="11" t="n">
        <v>8</v>
      </c>
      <c r="U62" s="5" t="n">
        <v>8.92</v>
      </c>
      <c r="V62" s="11" t="n">
        <v>9</v>
      </c>
      <c r="W62" s="14" t="n">
        <v>249.965217712587</v>
      </c>
      <c r="X62" s="7" t="s">
        <v>237</v>
      </c>
      <c r="Y62" s="7" t="s">
        <v>238</v>
      </c>
      <c r="Z62" s="7" t="s">
        <v>63</v>
      </c>
      <c r="AA62" s="7" t="n">
        <v>1</v>
      </c>
      <c r="AB62" s="7" t="s">
        <v>52</v>
      </c>
      <c r="AC62" s="5" t="n">
        <v>50</v>
      </c>
      <c r="AD62" s="5" t="n">
        <v>56</v>
      </c>
      <c r="AE62" s="8" t="n">
        <v>17.1831866882108</v>
      </c>
      <c r="AF62" s="8" t="n">
        <v>21.4145618687644</v>
      </c>
      <c r="AG62" s="8" t="n">
        <v>38.9643115687024</v>
      </c>
      <c r="AH62" s="5" t="n">
        <v>1680</v>
      </c>
      <c r="AI62" s="7" t="s">
        <v>56</v>
      </c>
      <c r="AJ62" s="7" t="n">
        <v>2</v>
      </c>
      <c r="AK62" s="5" t="n">
        <v>2</v>
      </c>
      <c r="AL62" s="5" t="n">
        <v>302311.125</v>
      </c>
      <c r="AM62" s="5" t="n">
        <v>5702381.564</v>
      </c>
      <c r="AN62" s="14" t="n">
        <v>1300</v>
      </c>
      <c r="AO62" s="14" t="n">
        <v>460</v>
      </c>
      <c r="AP62" s="15" t="n">
        <f aca="false">M62/AN62</f>
        <v>0.476923076923077</v>
      </c>
      <c r="AQ62" s="16" t="n">
        <f aca="false">LN(AP62)</f>
        <v>-0.740400065410491</v>
      </c>
      <c r="AR62" s="14" t="n">
        <f aca="false">R62/AO62</f>
        <v>15.2173913043478</v>
      </c>
      <c r="AS62" s="15" t="n">
        <f aca="false">LN(AR62)</f>
        <v>2.72243893855431</v>
      </c>
      <c r="AT62" s="5" t="n">
        <v>23</v>
      </c>
      <c r="AU62" s="15" t="n">
        <v>1.506522</v>
      </c>
      <c r="AV62" s="15" t="n">
        <v>1.5</v>
      </c>
      <c r="AW62" s="15" t="n">
        <v>0.047604</v>
      </c>
      <c r="AX62" s="8" t="n">
        <v>6.72799817358206</v>
      </c>
      <c r="AY62" s="5" t="n">
        <v>38</v>
      </c>
    </row>
    <row r="63" customFormat="false" ht="14.9" hidden="false" customHeight="false" outlineLevel="0" collapsed="false">
      <c r="A63" s="5" t="n">
        <v>763</v>
      </c>
      <c r="B63" s="6" t="s">
        <v>239</v>
      </c>
      <c r="C63" s="7" t="s">
        <v>52</v>
      </c>
      <c r="D63" s="7" t="n">
        <v>0</v>
      </c>
      <c r="E63" s="5" t="n">
        <v>29</v>
      </c>
      <c r="F63" s="8" t="n">
        <v>94.6757230499562</v>
      </c>
      <c r="G63" s="8" t="n">
        <v>21.142374511866</v>
      </c>
      <c r="H63" s="8" t="n">
        <v>24.7621104947192</v>
      </c>
      <c r="I63" s="8" t="n">
        <v>40.730132317159</v>
      </c>
      <c r="J63" s="5" t="n">
        <v>1160</v>
      </c>
      <c r="K63" s="9" t="n">
        <v>44109</v>
      </c>
      <c r="L63" s="10" t="n">
        <v>4.9</v>
      </c>
      <c r="M63" s="11" t="n">
        <v>994</v>
      </c>
      <c r="N63" s="12" t="n">
        <f aca="false">LN(M63)</f>
        <v>6.90173720665657</v>
      </c>
      <c r="O63" s="11" t="n">
        <v>14</v>
      </c>
      <c r="P63" s="9" t="n">
        <v>44117</v>
      </c>
      <c r="Q63" s="10" t="n">
        <v>5.1</v>
      </c>
      <c r="R63" s="11" t="n">
        <v>11300</v>
      </c>
      <c r="S63" s="12" t="n">
        <f aca="false">LN(R63)</f>
        <v>9.33255800470043</v>
      </c>
      <c r="T63" s="11" t="n">
        <v>8</v>
      </c>
      <c r="U63" s="5" t="n">
        <v>8.92</v>
      </c>
      <c r="V63" s="11" t="n">
        <v>9</v>
      </c>
      <c r="W63" s="14" t="n">
        <v>249.965217712587</v>
      </c>
      <c r="X63" s="7" t="s">
        <v>240</v>
      </c>
      <c r="Y63" s="7" t="s">
        <v>241</v>
      </c>
      <c r="Z63" s="7" t="s">
        <v>55</v>
      </c>
      <c r="AA63" s="7" t="n">
        <v>0</v>
      </c>
      <c r="AB63" s="7" t="s">
        <v>52</v>
      </c>
      <c r="AC63" s="5" t="n">
        <v>32</v>
      </c>
      <c r="AD63" s="5" t="n">
        <v>64</v>
      </c>
      <c r="AE63" s="8" t="n">
        <v>21.3635203091625</v>
      </c>
      <c r="AF63" s="8" t="n">
        <v>24.8073563171606</v>
      </c>
      <c r="AG63" s="8" t="n">
        <v>43.0206720424702</v>
      </c>
      <c r="AH63" s="5" t="n">
        <v>1200</v>
      </c>
      <c r="AI63" s="7" t="s">
        <v>56</v>
      </c>
      <c r="AJ63" s="7" t="n">
        <v>2</v>
      </c>
      <c r="AK63" s="5" t="n">
        <v>2</v>
      </c>
      <c r="AL63" s="5" t="n">
        <v>302518.648</v>
      </c>
      <c r="AM63" s="5" t="n">
        <v>5702343.872</v>
      </c>
      <c r="AN63" s="14" t="n">
        <v>1150</v>
      </c>
      <c r="AO63" s="14" t="n">
        <v>409.94191332</v>
      </c>
      <c r="AP63" s="15" t="n">
        <f aca="false">M63/AN63</f>
        <v>0.864347826086956</v>
      </c>
      <c r="AQ63" s="16" t="n">
        <f aca="false">LN(AP63)</f>
        <v>-0.145780014700722</v>
      </c>
      <c r="AR63" s="14" t="n">
        <f aca="false">R63/AO63</f>
        <v>27.5648808595457</v>
      </c>
      <c r="AS63" s="15" t="n">
        <f aca="false">LN(AR63)</f>
        <v>3.31654252986817</v>
      </c>
      <c r="AT63" s="5" t="n">
        <v>23</v>
      </c>
      <c r="AU63" s="15" t="n">
        <v>1.369565</v>
      </c>
      <c r="AV63" s="15" t="n">
        <v>1.39</v>
      </c>
      <c r="AW63" s="15" t="n">
        <v>0.074919</v>
      </c>
      <c r="AX63" s="8" t="n">
        <v>6.8295500967701</v>
      </c>
      <c r="AY63" s="5" t="n">
        <v>40</v>
      </c>
    </row>
    <row r="64" customFormat="false" ht="14.9" hidden="false" customHeight="false" outlineLevel="0" collapsed="false">
      <c r="A64" s="5" t="n">
        <v>800</v>
      </c>
      <c r="B64" s="6" t="s">
        <v>242</v>
      </c>
      <c r="C64" s="7" t="s">
        <v>52</v>
      </c>
      <c r="D64" s="7" t="n">
        <v>0</v>
      </c>
      <c r="E64" s="5" t="n">
        <v>35</v>
      </c>
      <c r="F64" s="8" t="n">
        <v>100</v>
      </c>
      <c r="G64" s="8" t="n">
        <v>16.9511904343871</v>
      </c>
      <c r="H64" s="8" t="n">
        <v>20.6584678456254</v>
      </c>
      <c r="I64" s="8" t="n">
        <v>31.5993937139295</v>
      </c>
      <c r="J64" s="5" t="n">
        <v>1400</v>
      </c>
      <c r="K64" s="9" t="n">
        <v>44145</v>
      </c>
      <c r="L64" s="10" t="n">
        <v>8.4</v>
      </c>
      <c r="M64" s="11" t="n">
        <v>14200</v>
      </c>
      <c r="N64" s="12" t="n">
        <f aca="false">LN(M64)</f>
        <v>9.56099724358935</v>
      </c>
      <c r="O64" s="11" t="n">
        <v>9</v>
      </c>
      <c r="P64" s="9" t="n">
        <v>44153</v>
      </c>
      <c r="Q64" s="10" t="n">
        <v>8.4</v>
      </c>
      <c r="R64" s="11" t="n">
        <v>37500</v>
      </c>
      <c r="S64" s="12" t="n">
        <f aca="false">LN(R64)</f>
        <v>10.5320962119585</v>
      </c>
      <c r="T64" s="11" t="n">
        <v>8</v>
      </c>
      <c r="U64" s="5" t="n">
        <v>8.92</v>
      </c>
      <c r="V64" s="11" t="n">
        <v>10</v>
      </c>
      <c r="W64" s="14" t="n">
        <v>249.965217712587</v>
      </c>
      <c r="X64" s="7" t="s">
        <v>243</v>
      </c>
      <c r="Y64" s="7" t="s">
        <v>244</v>
      </c>
      <c r="Z64" s="7" t="s">
        <v>63</v>
      </c>
      <c r="AA64" s="7" t="n">
        <v>1</v>
      </c>
      <c r="AB64" s="7" t="s">
        <v>52</v>
      </c>
      <c r="AC64" s="5" t="n">
        <v>53</v>
      </c>
      <c r="AD64" s="5" t="n">
        <v>59</v>
      </c>
      <c r="AE64" s="8" t="n">
        <v>16.9511904343871</v>
      </c>
      <c r="AF64" s="8" t="n">
        <v>20.6584678456254</v>
      </c>
      <c r="AG64" s="8" t="n">
        <v>31.5993937139295</v>
      </c>
      <c r="AH64" s="5" t="n">
        <v>1400</v>
      </c>
      <c r="AI64" s="7" t="s">
        <v>56</v>
      </c>
      <c r="AJ64" s="7" t="n">
        <v>2</v>
      </c>
      <c r="AK64" s="5" t="n">
        <v>2</v>
      </c>
      <c r="AL64" s="5" t="n">
        <v>293419.435</v>
      </c>
      <c r="AM64" s="5" t="n">
        <v>5696801.782</v>
      </c>
      <c r="AN64" s="14" t="n">
        <v>7700</v>
      </c>
      <c r="AO64" s="14" t="n">
        <v>2800</v>
      </c>
      <c r="AP64" s="15" t="n">
        <f aca="false">M64/AN64</f>
        <v>1.84415584415584</v>
      </c>
      <c r="AQ64" s="16" t="n">
        <f aca="false">LN(AP64)</f>
        <v>0.612021635747577</v>
      </c>
      <c r="AR64" s="14" t="n">
        <f aca="false">R64/AO64</f>
        <v>13.3928571428571</v>
      </c>
      <c r="AS64" s="15" t="n">
        <f aca="false">LN(AR64)</f>
        <v>2.59472151579521</v>
      </c>
      <c r="AT64" s="5" t="n">
        <v>16</v>
      </c>
      <c r="AU64" s="15" t="n">
        <v>7.65875</v>
      </c>
      <c r="AV64" s="15" t="n">
        <v>7.325</v>
      </c>
      <c r="AW64" s="15" t="n">
        <v>2.660326</v>
      </c>
      <c r="AX64" s="8" t="n">
        <v>4.73203461428055</v>
      </c>
      <c r="AY64" s="5" t="n">
        <v>266</v>
      </c>
    </row>
    <row r="65" customFormat="false" ht="14.9" hidden="false" customHeight="false" outlineLevel="0" collapsed="false">
      <c r="A65" s="5" t="n">
        <v>804</v>
      </c>
      <c r="B65" s="6" t="s">
        <v>245</v>
      </c>
      <c r="C65" s="7" t="s">
        <v>52</v>
      </c>
      <c r="D65" s="7" t="n">
        <v>0</v>
      </c>
      <c r="E65" s="5" t="n">
        <v>42</v>
      </c>
      <c r="F65" s="8" t="n">
        <v>100</v>
      </c>
      <c r="G65" s="8" t="n">
        <v>22.5193038884209</v>
      </c>
      <c r="H65" s="8" t="n">
        <v>26.8092724721215</v>
      </c>
      <c r="I65" s="8" t="n">
        <v>66.9220927426652</v>
      </c>
      <c r="J65" s="5" t="n">
        <v>1680</v>
      </c>
      <c r="K65" s="9" t="n">
        <v>44145</v>
      </c>
      <c r="L65" s="10" t="n">
        <v>10.9</v>
      </c>
      <c r="M65" s="11" t="n">
        <v>987</v>
      </c>
      <c r="N65" s="12" t="n">
        <f aca="false">LN(M65)</f>
        <v>6.89467003943348</v>
      </c>
      <c r="O65" s="11" t="n">
        <v>6</v>
      </c>
      <c r="P65" s="9" t="n">
        <v>44153</v>
      </c>
      <c r="Q65" s="10" t="n">
        <v>10.9</v>
      </c>
      <c r="R65" s="11" t="n">
        <v>5100</v>
      </c>
      <c r="S65" s="12" t="n">
        <f aca="false">LN(R65)</f>
        <v>8.53699581871242</v>
      </c>
      <c r="T65" s="11" t="n">
        <v>7</v>
      </c>
      <c r="U65" s="5" t="n">
        <v>8.92</v>
      </c>
      <c r="V65" s="11" t="n">
        <v>10</v>
      </c>
      <c r="W65" s="14" t="n">
        <v>249.965217712587</v>
      </c>
      <c r="X65" s="7" t="s">
        <v>246</v>
      </c>
      <c r="Y65" s="7" t="s">
        <v>247</v>
      </c>
      <c r="Z65" s="7" t="s">
        <v>63</v>
      </c>
      <c r="AA65" s="7" t="n">
        <v>1</v>
      </c>
      <c r="AB65" s="7" t="s">
        <v>52</v>
      </c>
      <c r="AC65" s="5" t="n">
        <v>47</v>
      </c>
      <c r="AD65" s="5" t="n">
        <v>70</v>
      </c>
      <c r="AE65" s="8" t="n">
        <v>22.5193038884209</v>
      </c>
      <c r="AF65" s="8" t="n">
        <v>26.8092724721215</v>
      </c>
      <c r="AG65" s="8" t="n">
        <v>66.9220927426652</v>
      </c>
      <c r="AH65" s="5" t="n">
        <v>1680</v>
      </c>
      <c r="AI65" s="7" t="s">
        <v>56</v>
      </c>
      <c r="AJ65" s="7" t="n">
        <v>2</v>
      </c>
      <c r="AK65" s="5" t="n">
        <v>2</v>
      </c>
      <c r="AL65" s="5" t="n">
        <v>293468.604</v>
      </c>
      <c r="AM65" s="5" t="n">
        <v>5696911.271</v>
      </c>
      <c r="AN65" s="14" t="n">
        <v>1500</v>
      </c>
      <c r="AO65" s="14" t="n">
        <v>620</v>
      </c>
      <c r="AP65" s="15" t="n">
        <f aca="false">M65/AN65</f>
        <v>0.658</v>
      </c>
      <c r="AQ65" s="16" t="n">
        <f aca="false">LN(AP65)</f>
        <v>-0.41855034765682</v>
      </c>
      <c r="AR65" s="8" t="n">
        <f aca="false">R65/AO65</f>
        <v>8.2258064516129</v>
      </c>
      <c r="AS65" s="15" t="n">
        <f aca="false">LN(AR65)</f>
        <v>2.10727634067328</v>
      </c>
      <c r="AT65" s="5" t="n">
        <v>100</v>
      </c>
      <c r="AU65" s="15" t="n">
        <v>1.5191</v>
      </c>
      <c r="AV65" s="15" t="n">
        <v>1.445</v>
      </c>
      <c r="AW65" s="15" t="n">
        <v>0.298</v>
      </c>
      <c r="AX65" s="8" t="n">
        <v>4.67724569231264</v>
      </c>
      <c r="AY65" s="5" t="n">
        <v>268</v>
      </c>
    </row>
    <row r="66" customFormat="false" ht="14.9" hidden="false" customHeight="false" outlineLevel="0" collapsed="false">
      <c r="A66" s="5" t="n">
        <v>823</v>
      </c>
      <c r="B66" s="6" t="s">
        <v>248</v>
      </c>
      <c r="C66" s="7" t="s">
        <v>52</v>
      </c>
      <c r="D66" s="7" t="n">
        <v>0</v>
      </c>
      <c r="E66" s="5" t="n">
        <v>16</v>
      </c>
      <c r="F66" s="8" t="n">
        <v>94.6479300847917</v>
      </c>
      <c r="G66" s="8" t="n">
        <v>52.228464461441</v>
      </c>
      <c r="H66" s="8" t="n">
        <v>27.2540439438695</v>
      </c>
      <c r="I66" s="8" t="n">
        <v>34.2834726718816</v>
      </c>
      <c r="J66" s="5" t="n">
        <v>160</v>
      </c>
      <c r="K66" s="17" t="n">
        <v>44110</v>
      </c>
      <c r="L66" s="8" t="n">
        <v>14.4</v>
      </c>
      <c r="M66" s="5" t="n">
        <v>10600</v>
      </c>
      <c r="N66" s="12" t="n">
        <f aca="false">LN(M66)</f>
        <v>9.26860928010016</v>
      </c>
      <c r="O66" s="5" t="n">
        <v>9</v>
      </c>
      <c r="P66" s="17" t="n">
        <v>44117</v>
      </c>
      <c r="Q66" s="8" t="n">
        <v>14.5</v>
      </c>
      <c r="R66" s="5" t="n">
        <v>14900</v>
      </c>
      <c r="S66" s="12" t="n">
        <f aca="false">LN(R66)</f>
        <v>9.60911649193355</v>
      </c>
      <c r="T66" s="5" t="n">
        <v>8</v>
      </c>
      <c r="U66" s="5" t="n">
        <v>17.84</v>
      </c>
      <c r="V66" s="11" t="n">
        <v>11</v>
      </c>
      <c r="W66" s="14" t="n">
        <v>999.860870850348</v>
      </c>
      <c r="X66" s="7" t="s">
        <v>249</v>
      </c>
      <c r="Y66" s="7" t="s">
        <v>250</v>
      </c>
      <c r="Z66" s="7" t="s">
        <v>55</v>
      </c>
      <c r="AA66" s="7" t="n">
        <v>0</v>
      </c>
      <c r="AB66" s="7" t="s">
        <v>52</v>
      </c>
      <c r="AC66" s="5" t="n">
        <v>27</v>
      </c>
      <c r="AD66" s="5" t="n">
        <v>150</v>
      </c>
      <c r="AE66" s="8" t="n">
        <v>41.3266123567961</v>
      </c>
      <c r="AF66" s="8" t="n">
        <v>27.2540315363968</v>
      </c>
      <c r="AG66" s="8" t="n">
        <v>36.2221050594221</v>
      </c>
      <c r="AH66" s="5" t="n">
        <v>270</v>
      </c>
      <c r="AI66" s="7" t="s">
        <v>56</v>
      </c>
      <c r="AJ66" s="7" t="n">
        <v>2</v>
      </c>
      <c r="AK66" s="5" t="n">
        <v>2</v>
      </c>
      <c r="AL66" s="5" t="n">
        <v>291113.815</v>
      </c>
      <c r="AM66" s="5" t="n">
        <v>5696491.703</v>
      </c>
      <c r="AN66" s="14" t="n">
        <v>13800</v>
      </c>
      <c r="AO66" s="14" t="n">
        <v>2040</v>
      </c>
      <c r="AP66" s="15" t="n">
        <f aca="false">M66/AN66</f>
        <v>0.768115942028985</v>
      </c>
      <c r="AQ66" s="16" t="n">
        <f aca="false">LN(AP66)</f>
        <v>-0.263814591045138</v>
      </c>
      <c r="AR66" s="8" t="n">
        <f aca="false">R66/AO66</f>
        <v>7.30392156862745</v>
      </c>
      <c r="AS66" s="15" t="n">
        <f aca="false">LN(AR66)</f>
        <v>1.98841140509529</v>
      </c>
      <c r="AT66" s="5" t="n">
        <v>26</v>
      </c>
      <c r="AU66" s="15" t="n">
        <v>13.156538</v>
      </c>
      <c r="AV66" s="15" t="n">
        <v>12.935</v>
      </c>
      <c r="AW66" s="15" t="n">
        <v>1.462482</v>
      </c>
      <c r="AX66" s="8" t="n">
        <v>7.0545465643395</v>
      </c>
      <c r="AY66" s="5" t="n">
        <v>265</v>
      </c>
    </row>
    <row r="67" customFormat="false" ht="14.9" hidden="false" customHeight="false" outlineLevel="0" collapsed="false">
      <c r="A67" s="5" t="n">
        <v>17</v>
      </c>
      <c r="B67" s="6" t="s">
        <v>251</v>
      </c>
      <c r="C67" s="7" t="s">
        <v>52</v>
      </c>
      <c r="D67" s="7" t="n">
        <v>0</v>
      </c>
      <c r="E67" s="5" t="n">
        <v>40</v>
      </c>
      <c r="F67" s="8" t="n">
        <v>81.7448390413667</v>
      </c>
      <c r="G67" s="8" t="n">
        <v>16.0740474056785</v>
      </c>
      <c r="H67" s="8" t="n">
        <v>17.9636976426554</v>
      </c>
      <c r="I67" s="8" t="n">
        <v>32.4728779987532</v>
      </c>
      <c r="J67" s="5" t="n">
        <v>1600</v>
      </c>
      <c r="K67" s="9" t="n">
        <v>44109</v>
      </c>
      <c r="L67" s="10" t="n">
        <v>8.8</v>
      </c>
      <c r="M67" s="11" t="n">
        <v>9150</v>
      </c>
      <c r="N67" s="12" t="n">
        <f aca="false">LN(M67)</f>
        <v>9.12150915826957</v>
      </c>
      <c r="O67" s="11" t="n">
        <v>9</v>
      </c>
      <c r="P67" s="9" t="n">
        <v>44117</v>
      </c>
      <c r="Q67" s="10" t="n">
        <v>8.7</v>
      </c>
      <c r="R67" s="11" t="n">
        <v>30800</v>
      </c>
      <c r="S67" s="12" t="n">
        <f aca="false">LN(R67)</f>
        <v>10.3352699689617</v>
      </c>
      <c r="T67" s="11" t="n">
        <v>8</v>
      </c>
      <c r="U67" s="5" t="n">
        <v>8.92</v>
      </c>
      <c r="V67" s="11" t="n">
        <v>11</v>
      </c>
      <c r="W67" s="14" t="n">
        <v>249.965217712587</v>
      </c>
      <c r="X67" s="7" t="s">
        <v>252</v>
      </c>
      <c r="Y67" s="7" t="s">
        <v>253</v>
      </c>
      <c r="Z67" s="7" t="s">
        <v>63</v>
      </c>
      <c r="AA67" s="7" t="n">
        <v>1</v>
      </c>
      <c r="AB67" s="7" t="s">
        <v>52</v>
      </c>
      <c r="AC67" s="5" t="n">
        <v>50</v>
      </c>
      <c r="AD67" s="5" t="n">
        <v>63</v>
      </c>
      <c r="AE67" s="8" t="n">
        <v>16.9511329736661</v>
      </c>
      <c r="AF67" s="8" t="n">
        <v>18.4917775991585</v>
      </c>
      <c r="AG67" s="8" t="n">
        <v>39.7246827806713</v>
      </c>
      <c r="AH67" s="5" t="n">
        <v>1760</v>
      </c>
      <c r="AI67" s="7" t="s">
        <v>56</v>
      </c>
      <c r="AJ67" s="7" t="n">
        <v>2</v>
      </c>
      <c r="AK67" s="5" t="n">
        <v>2</v>
      </c>
      <c r="AL67" s="5" t="n">
        <v>291168.364</v>
      </c>
      <c r="AM67" s="5" t="n">
        <v>5696413.081</v>
      </c>
      <c r="AN67" s="14" t="n">
        <v>7800</v>
      </c>
      <c r="AO67" s="14" t="n">
        <v>2100</v>
      </c>
      <c r="AP67" s="15" t="n">
        <f aca="false">M67/AN67</f>
        <v>1.17307692307692</v>
      </c>
      <c r="AQ67" s="16" t="n">
        <f aca="false">LN(AP67)</f>
        <v>0.159630145591884</v>
      </c>
      <c r="AR67" s="14" t="n">
        <f aca="false">R67/AO67</f>
        <v>14.6666666666667</v>
      </c>
      <c r="AS67" s="15" t="n">
        <f aca="false">LN(AR67)</f>
        <v>2.68557734525015</v>
      </c>
      <c r="AT67" s="5" t="n">
        <v>28</v>
      </c>
      <c r="AU67" s="15" t="n">
        <v>10.1675</v>
      </c>
      <c r="AV67" s="15" t="n">
        <v>10.085</v>
      </c>
      <c r="AW67" s="15" t="n">
        <v>1.229043</v>
      </c>
      <c r="AX67" s="8" t="n">
        <v>7.00748397151621</v>
      </c>
      <c r="AY67" s="5" t="n">
        <v>264</v>
      </c>
    </row>
    <row r="68" customFormat="false" ht="14.9" hidden="false" customHeight="false" outlineLevel="0" collapsed="false">
      <c r="A68" s="5" t="n">
        <v>22</v>
      </c>
      <c r="B68" s="6" t="s">
        <v>254</v>
      </c>
      <c r="C68" s="7" t="s">
        <v>52</v>
      </c>
      <c r="D68" s="7" t="n">
        <v>0</v>
      </c>
      <c r="E68" s="5" t="n">
        <v>23</v>
      </c>
      <c r="F68" s="8" t="n">
        <v>100</v>
      </c>
      <c r="G68" s="8" t="n">
        <v>39.7147437303228</v>
      </c>
      <c r="H68" s="8" t="n">
        <v>27.2068674565349</v>
      </c>
      <c r="I68" s="8" t="n">
        <v>56.9446153691597</v>
      </c>
      <c r="J68" s="5" t="n">
        <v>460</v>
      </c>
      <c r="K68" s="17" t="n">
        <v>44110</v>
      </c>
      <c r="L68" s="8" t="n">
        <v>9.1</v>
      </c>
      <c r="M68" s="5" t="n">
        <v>1130</v>
      </c>
      <c r="N68" s="12" t="n">
        <f aca="false">LN(M68)</f>
        <v>7.02997291170639</v>
      </c>
      <c r="O68" s="5" t="n">
        <v>14</v>
      </c>
      <c r="P68" s="17" t="n">
        <v>44117</v>
      </c>
      <c r="Q68" s="8" t="n">
        <v>9.2</v>
      </c>
      <c r="R68" s="5" t="n">
        <v>5020</v>
      </c>
      <c r="S68" s="12" t="n">
        <f aca="false">LN(R68)</f>
        <v>8.52118521268578</v>
      </c>
      <c r="T68" s="5" t="n">
        <v>8</v>
      </c>
      <c r="U68" s="5" t="n">
        <v>12.62</v>
      </c>
      <c r="V68" s="11" t="n">
        <v>11</v>
      </c>
      <c r="W68" s="14" t="n">
        <v>500.343869018386</v>
      </c>
      <c r="X68" s="7" t="s">
        <v>255</v>
      </c>
      <c r="Y68" s="7" t="s">
        <v>256</v>
      </c>
      <c r="Z68" s="7" t="s">
        <v>63</v>
      </c>
      <c r="AA68" s="7" t="n">
        <v>1</v>
      </c>
      <c r="AB68" s="7" t="s">
        <v>52</v>
      </c>
      <c r="AC68" s="5" t="n">
        <v>27</v>
      </c>
      <c r="AD68" s="5" t="n">
        <v>100</v>
      </c>
      <c r="AE68" s="8" t="n">
        <v>39.7147437303228</v>
      </c>
      <c r="AF68" s="8" t="n">
        <v>27.2068674565349</v>
      </c>
      <c r="AG68" s="8" t="n">
        <v>56.9446153691597</v>
      </c>
      <c r="AH68" s="5" t="n">
        <v>460</v>
      </c>
      <c r="AI68" s="7" t="s">
        <v>56</v>
      </c>
      <c r="AJ68" s="7" t="n">
        <v>2</v>
      </c>
      <c r="AK68" s="5" t="n">
        <v>2</v>
      </c>
      <c r="AL68" s="5" t="n">
        <v>291055.473</v>
      </c>
      <c r="AM68" s="5" t="n">
        <v>5696266.18</v>
      </c>
      <c r="AN68" s="14" t="n">
        <v>6900</v>
      </c>
      <c r="AO68" s="14" t="n">
        <v>1700</v>
      </c>
      <c r="AP68" s="15" t="n">
        <f aca="false">M68/AN68</f>
        <v>0.163768115942029</v>
      </c>
      <c r="AQ68" s="16" t="n">
        <f aca="false">LN(AP68)</f>
        <v>-1.80930377887896</v>
      </c>
      <c r="AR68" s="8" t="n">
        <f aca="false">R68/AO68</f>
        <v>2.95294117647059</v>
      </c>
      <c r="AS68" s="15" t="n">
        <f aca="false">LN(AR68)</f>
        <v>1.08280168264147</v>
      </c>
      <c r="AT68" s="5" t="n">
        <v>66</v>
      </c>
      <c r="AU68" s="15" t="n">
        <v>7.080303</v>
      </c>
      <c r="AV68" s="15" t="n">
        <v>7.07</v>
      </c>
      <c r="AW68" s="15" t="n">
        <v>0.812055</v>
      </c>
      <c r="AX68" s="8" t="n">
        <v>7.13553006819602</v>
      </c>
      <c r="AY68" s="5" t="n">
        <v>263</v>
      </c>
    </row>
    <row r="69" customFormat="false" ht="14.9" hidden="false" customHeight="false" outlineLevel="0" collapsed="false">
      <c r="A69" s="5" t="n">
        <v>33</v>
      </c>
      <c r="B69" s="6" t="s">
        <v>257</v>
      </c>
      <c r="C69" s="7" t="s">
        <v>52</v>
      </c>
      <c r="D69" s="7" t="n">
        <v>0</v>
      </c>
      <c r="E69" s="5" t="n">
        <v>36</v>
      </c>
      <c r="F69" s="8" t="n">
        <v>100</v>
      </c>
      <c r="G69" s="8" t="n">
        <v>19.2137103826061</v>
      </c>
      <c r="H69" s="8" t="n">
        <v>12.4017887900405</v>
      </c>
      <c r="I69" s="8" t="n">
        <v>41.7575760622574</v>
      </c>
      <c r="J69" s="5" t="n">
        <v>1440</v>
      </c>
      <c r="K69" s="9" t="n">
        <v>44111</v>
      </c>
      <c r="L69" s="10" t="n">
        <v>6.3</v>
      </c>
      <c r="M69" s="11" t="n">
        <v>59</v>
      </c>
      <c r="N69" s="12" t="n">
        <f aca="false">LN(M69)</f>
        <v>4.07753744390572</v>
      </c>
      <c r="O69" s="11" t="n">
        <v>37</v>
      </c>
      <c r="P69" s="9" t="n">
        <v>44124</v>
      </c>
      <c r="Q69" s="10" t="n">
        <v>6.4</v>
      </c>
      <c r="R69" s="11" t="n">
        <v>842</v>
      </c>
      <c r="S69" s="12" t="n">
        <f aca="false">LN(R69)</f>
        <v>6.73578001424233</v>
      </c>
      <c r="T69" s="11" t="n">
        <v>10</v>
      </c>
      <c r="U69" s="5" t="n">
        <v>8.92</v>
      </c>
      <c r="V69" s="11" t="n">
        <v>14</v>
      </c>
      <c r="W69" s="14" t="n">
        <v>249.965217712587</v>
      </c>
      <c r="X69" s="7" t="s">
        <v>258</v>
      </c>
      <c r="Y69" s="7" t="s">
        <v>259</v>
      </c>
      <c r="Z69" s="7" t="s">
        <v>55</v>
      </c>
      <c r="AA69" s="7" t="n">
        <v>0</v>
      </c>
      <c r="AB69" s="7" t="s">
        <v>52</v>
      </c>
      <c r="AC69" s="5" t="n">
        <v>36</v>
      </c>
      <c r="AD69" s="5" t="n">
        <v>35</v>
      </c>
      <c r="AE69" s="8" t="n">
        <v>19.2137103826061</v>
      </c>
      <c r="AF69" s="8" t="n">
        <v>12.4017887900405</v>
      </c>
      <c r="AG69" s="8" t="n">
        <v>41.7575760622574</v>
      </c>
      <c r="AH69" s="5" t="n">
        <v>1440</v>
      </c>
      <c r="AI69" s="7" t="s">
        <v>56</v>
      </c>
      <c r="AJ69" s="7" t="n">
        <v>2</v>
      </c>
      <c r="AK69" s="5" t="n">
        <v>2</v>
      </c>
      <c r="AL69" s="5" t="n">
        <v>290409.424</v>
      </c>
      <c r="AM69" s="5" t="n">
        <v>5693514.85</v>
      </c>
      <c r="AN69" s="14" t="n">
        <v>790</v>
      </c>
      <c r="AO69" s="14" t="n">
        <v>650</v>
      </c>
      <c r="AP69" s="18" t="n">
        <f aca="false">M69/AN69</f>
        <v>0.0746835443037975</v>
      </c>
      <c r="AQ69" s="16" t="n">
        <f aca="false">LN(AP69)</f>
        <v>-2.59449550155535</v>
      </c>
      <c r="AR69" s="8" t="n">
        <f aca="false">R69/AO69</f>
        <v>1.29538461538462</v>
      </c>
      <c r="AS69" s="15" t="n">
        <f aca="false">LN(AR69)</f>
        <v>0.258807651352644</v>
      </c>
      <c r="AT69" s="5" t="n">
        <v>42</v>
      </c>
      <c r="AU69" s="15" t="n">
        <v>0.629524</v>
      </c>
      <c r="AV69" s="15" t="n">
        <v>0.61</v>
      </c>
      <c r="AW69" s="15" t="n">
        <v>0.062257</v>
      </c>
      <c r="AX69" s="8" t="n">
        <v>8.5236848497747</v>
      </c>
      <c r="AY69" s="5" t="n">
        <v>245</v>
      </c>
    </row>
    <row r="70" customFormat="false" ht="14.9" hidden="false" customHeight="false" outlineLevel="0" collapsed="false">
      <c r="A70" s="5" t="n">
        <v>36</v>
      </c>
      <c r="B70" s="6" t="s">
        <v>260</v>
      </c>
      <c r="C70" s="7" t="s">
        <v>52</v>
      </c>
      <c r="D70" s="7" t="n">
        <v>0</v>
      </c>
      <c r="E70" s="5" t="n">
        <v>35</v>
      </c>
      <c r="F70" s="8" t="n">
        <v>100</v>
      </c>
      <c r="G70" s="8" t="n">
        <v>22.5882396708679</v>
      </c>
      <c r="H70" s="8" t="n">
        <v>11.3795494235341</v>
      </c>
      <c r="I70" s="8" t="n">
        <v>28.0320021297917</v>
      </c>
      <c r="J70" s="5" t="n">
        <v>700</v>
      </c>
      <c r="K70" s="17" t="n">
        <v>44111</v>
      </c>
      <c r="L70" s="8" t="n">
        <v>9.4</v>
      </c>
      <c r="M70" s="5" t="n">
        <v>46</v>
      </c>
      <c r="N70" s="12" t="n">
        <f aca="false">LN(M70)</f>
        <v>3.8286413964891</v>
      </c>
      <c r="O70" s="5" t="n">
        <v>35</v>
      </c>
      <c r="P70" s="17" t="n">
        <v>44124</v>
      </c>
      <c r="Q70" s="8" t="n">
        <v>9.4</v>
      </c>
      <c r="R70" s="5" t="n">
        <v>1000</v>
      </c>
      <c r="S70" s="12" t="n">
        <f aca="false">LN(R70)</f>
        <v>6.90775527898214</v>
      </c>
      <c r="T70" s="5" t="n">
        <v>9</v>
      </c>
      <c r="U70" s="5" t="n">
        <v>12.62</v>
      </c>
      <c r="V70" s="11" t="n">
        <v>14</v>
      </c>
      <c r="W70" s="14" t="n">
        <v>500.343869018386</v>
      </c>
      <c r="X70" s="7" t="s">
        <v>261</v>
      </c>
      <c r="Y70" s="7" t="s">
        <v>262</v>
      </c>
      <c r="Z70" s="7" t="s">
        <v>55</v>
      </c>
      <c r="AA70" s="7" t="n">
        <v>0</v>
      </c>
      <c r="AB70" s="7" t="s">
        <v>52</v>
      </c>
      <c r="AC70" s="5" t="n">
        <v>35</v>
      </c>
      <c r="AD70" s="5" t="n">
        <v>35</v>
      </c>
      <c r="AE70" s="8" t="n">
        <v>22.5882396708679</v>
      </c>
      <c r="AF70" s="8" t="n">
        <v>11.3795494235341</v>
      </c>
      <c r="AG70" s="8" t="n">
        <v>28.0320021297917</v>
      </c>
      <c r="AH70" s="5" t="n">
        <v>700</v>
      </c>
      <c r="AI70" s="7" t="s">
        <v>56</v>
      </c>
      <c r="AJ70" s="7" t="n">
        <v>2</v>
      </c>
      <c r="AK70" s="5" t="n">
        <v>2</v>
      </c>
      <c r="AL70" s="5" t="n">
        <v>290455.952</v>
      </c>
      <c r="AM70" s="5" t="n">
        <v>5693569.745</v>
      </c>
      <c r="AN70" s="14" t="n">
        <v>820</v>
      </c>
      <c r="AO70" s="14" t="n">
        <v>610</v>
      </c>
      <c r="AP70" s="18" t="n">
        <f aca="false">M70/AN70</f>
        <v>0.0560975609756098</v>
      </c>
      <c r="AQ70" s="16" t="n">
        <f aca="false">LN(AP70)</f>
        <v>-2.8806629437692</v>
      </c>
      <c r="AR70" s="8" t="n">
        <f aca="false">R70/AO70</f>
        <v>1.63934426229508</v>
      </c>
      <c r="AS70" s="15" t="n">
        <f aca="false">LN(AR70)</f>
        <v>0.49429632181478</v>
      </c>
      <c r="AT70" s="5" t="n">
        <v>123</v>
      </c>
      <c r="AU70" s="15" t="n">
        <v>0.699187</v>
      </c>
      <c r="AV70" s="15" t="n">
        <v>0.71</v>
      </c>
      <c r="AW70" s="15" t="n">
        <v>0.08483</v>
      </c>
      <c r="AX70" s="8" t="n">
        <v>8.45843340893149</v>
      </c>
      <c r="AY70" s="5" t="n">
        <v>245</v>
      </c>
    </row>
    <row r="71" customFormat="false" ht="14.9" hidden="false" customHeight="false" outlineLevel="0" collapsed="false">
      <c r="A71" s="5" t="n">
        <v>39</v>
      </c>
      <c r="B71" s="6" t="s">
        <v>263</v>
      </c>
      <c r="C71" s="7" t="s">
        <v>52</v>
      </c>
      <c r="D71" s="7" t="n">
        <v>0</v>
      </c>
      <c r="E71" s="5" t="n">
        <v>23</v>
      </c>
      <c r="F71" s="8" t="n">
        <v>100</v>
      </c>
      <c r="G71" s="8" t="n">
        <v>16.5016468216383</v>
      </c>
      <c r="H71" s="8" t="n">
        <v>8.58128566231112</v>
      </c>
      <c r="I71" s="8" t="n">
        <v>9.83113614844246</v>
      </c>
      <c r="J71" s="5" t="n">
        <v>460</v>
      </c>
      <c r="K71" s="9" t="n">
        <v>44111</v>
      </c>
      <c r="L71" s="10" t="n">
        <v>5.8</v>
      </c>
      <c r="M71" s="11" t="n">
        <v>34</v>
      </c>
      <c r="N71" s="12" t="n">
        <f aca="false">LN(M71)</f>
        <v>3.52636052461616</v>
      </c>
      <c r="O71" s="11" t="n">
        <v>35</v>
      </c>
      <c r="P71" s="9" t="n">
        <v>44124</v>
      </c>
      <c r="Q71" s="10" t="n">
        <v>5.9</v>
      </c>
      <c r="R71" s="11" t="n">
        <v>1010</v>
      </c>
      <c r="S71" s="12" t="n">
        <f aca="false">LN(R71)</f>
        <v>6.91770560983531</v>
      </c>
      <c r="T71" s="11" t="n">
        <v>10</v>
      </c>
      <c r="U71" s="5" t="n">
        <v>12.62</v>
      </c>
      <c r="V71" s="11" t="n">
        <v>14</v>
      </c>
      <c r="W71" s="14" t="n">
        <v>500.343869018386</v>
      </c>
      <c r="X71" s="7" t="s">
        <v>264</v>
      </c>
      <c r="Y71" s="7" t="s">
        <v>265</v>
      </c>
      <c r="Z71" s="7" t="s">
        <v>55</v>
      </c>
      <c r="AA71" s="7" t="n">
        <v>0</v>
      </c>
      <c r="AB71" s="7" t="s">
        <v>52</v>
      </c>
      <c r="AC71" s="5" t="n">
        <v>23</v>
      </c>
      <c r="AD71" s="5" t="n">
        <v>20</v>
      </c>
      <c r="AE71" s="8" t="n">
        <v>16.5016468216383</v>
      </c>
      <c r="AF71" s="8" t="n">
        <v>8.58128566231112</v>
      </c>
      <c r="AG71" s="8" t="n">
        <v>9.83113614844246</v>
      </c>
      <c r="AH71" s="5" t="n">
        <v>460</v>
      </c>
      <c r="AI71" s="7" t="s">
        <v>56</v>
      </c>
      <c r="AJ71" s="7" t="n">
        <v>2</v>
      </c>
      <c r="AK71" s="5" t="n">
        <v>2</v>
      </c>
      <c r="AL71" s="5" t="n">
        <v>290416.479</v>
      </c>
      <c r="AM71" s="5" t="n">
        <v>5693452.634</v>
      </c>
      <c r="AN71" s="14" t="n">
        <v>710</v>
      </c>
      <c r="AO71" s="14" t="n">
        <v>640</v>
      </c>
      <c r="AP71" s="18" t="n">
        <f aca="false">M71/AN71</f>
        <v>0.047887323943662</v>
      </c>
      <c r="AQ71" s="16" t="n">
        <f aca="false">LN(AP71)</f>
        <v>-3.0389044454192</v>
      </c>
      <c r="AR71" s="8" t="n">
        <f aca="false">R71/AO71</f>
        <v>1.578125</v>
      </c>
      <c r="AS71" s="15" t="n">
        <f aca="false">LN(AR71)</f>
        <v>0.456237433481588</v>
      </c>
      <c r="AT71" s="5" t="n">
        <v>56</v>
      </c>
      <c r="AU71" s="15" t="n">
        <v>0.537321</v>
      </c>
      <c r="AV71" s="15" t="n">
        <v>0.535</v>
      </c>
      <c r="AW71" s="15" t="n">
        <v>0.057492</v>
      </c>
      <c r="AX71" s="8" t="n">
        <v>8.54366719807133</v>
      </c>
      <c r="AY71" s="5" t="n">
        <v>245</v>
      </c>
    </row>
    <row r="72" customFormat="false" ht="13.8" hidden="false" customHeight="false" outlineLevel="0" collapsed="false">
      <c r="A72" s="5"/>
      <c r="B72" s="6"/>
      <c r="C72" s="7"/>
      <c r="D72" s="7"/>
      <c r="E72" s="5"/>
      <c r="F72" s="8"/>
      <c r="G72" s="8"/>
      <c r="H72" s="8"/>
      <c r="I72" s="8"/>
      <c r="J72" s="5"/>
      <c r="N72" s="12"/>
      <c r="U72" s="5"/>
      <c r="V72" s="11"/>
      <c r="W72" s="14"/>
      <c r="X72" s="7"/>
      <c r="Y72" s="7"/>
      <c r="Z72" s="7"/>
      <c r="AA72" s="7"/>
      <c r="AB72" s="7"/>
      <c r="AC72" s="5"/>
      <c r="AD72" s="5"/>
      <c r="AE72" s="8"/>
      <c r="AF72" s="8"/>
      <c r="AG72" s="8"/>
      <c r="AH72" s="5"/>
      <c r="AI72" s="7"/>
      <c r="AJ72" s="7"/>
      <c r="AK72" s="5"/>
      <c r="AL72" s="5"/>
      <c r="AM72" s="5"/>
      <c r="AN72" s="14"/>
      <c r="AO72" s="14"/>
      <c r="AP72" s="14"/>
      <c r="AQ72" s="14"/>
      <c r="AR72" s="14"/>
      <c r="AS72" s="14"/>
      <c r="AT72" s="5"/>
      <c r="AU72" s="15"/>
      <c r="AV72" s="15"/>
      <c r="AW72" s="15"/>
      <c r="AX72" s="8"/>
      <c r="AY72" s="5"/>
    </row>
    <row r="73" customFormat="false" ht="13.8" hidden="false" customHeight="false" outlineLevel="0" collapsed="false">
      <c r="A73" s="5"/>
      <c r="B73" s="6"/>
      <c r="C73" s="7"/>
      <c r="D73" s="7"/>
      <c r="E73" s="5"/>
      <c r="F73" s="8"/>
      <c r="G73" s="8"/>
      <c r="H73" s="8"/>
      <c r="I73" s="8"/>
      <c r="J73" s="5"/>
      <c r="U73" s="5"/>
      <c r="V73" s="13"/>
      <c r="W73" s="14"/>
      <c r="X73" s="7"/>
      <c r="Y73" s="7"/>
      <c r="Z73" s="7"/>
      <c r="AA73" s="7"/>
      <c r="AB73" s="7"/>
      <c r="AC73" s="5"/>
      <c r="AD73" s="5"/>
      <c r="AE73" s="8"/>
      <c r="AF73" s="8"/>
      <c r="AG73" s="8"/>
      <c r="AH73" s="5"/>
      <c r="AI73" s="7"/>
      <c r="AJ73" s="7"/>
      <c r="AK73" s="5"/>
      <c r="AL73" s="5"/>
      <c r="AM73" s="5"/>
      <c r="AN73" s="14"/>
      <c r="AO73" s="14"/>
      <c r="AP73" s="14"/>
      <c r="AQ73" s="14"/>
      <c r="AR73" s="14"/>
      <c r="AS73" s="14"/>
      <c r="AT73" s="5"/>
      <c r="AU73" s="15"/>
      <c r="AV73" s="15"/>
      <c r="AW73" s="15"/>
      <c r="AX73" s="8"/>
      <c r="AY73" s="5"/>
    </row>
    <row r="74" customFormat="false" ht="13.8" hidden="false" customHeight="false" outlineLevel="0" collapsed="false">
      <c r="A74" s="5"/>
      <c r="B74" s="6"/>
      <c r="C74" s="7"/>
      <c r="D74" s="7"/>
      <c r="E74" s="5"/>
      <c r="F74" s="8"/>
      <c r="G74" s="8"/>
      <c r="H74" s="8"/>
      <c r="I74" s="8"/>
      <c r="J74" s="5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5"/>
      <c r="V74" s="13"/>
      <c r="W74" s="14"/>
      <c r="X74" s="7"/>
      <c r="Y74" s="7"/>
      <c r="Z74" s="7"/>
      <c r="AA74" s="7"/>
      <c r="AB74" s="7"/>
      <c r="AC74" s="5"/>
      <c r="AD74" s="5"/>
      <c r="AE74" s="8"/>
      <c r="AF74" s="8"/>
      <c r="AG74" s="8"/>
      <c r="AH74" s="5"/>
      <c r="AI74" s="7"/>
      <c r="AJ74" s="7"/>
      <c r="AK74" s="5"/>
      <c r="AL74" s="5"/>
      <c r="AM74" s="5"/>
      <c r="AN74" s="14"/>
      <c r="AO74" s="14"/>
      <c r="AP74" s="14"/>
      <c r="AQ74" s="14"/>
      <c r="AR74" s="14"/>
      <c r="AS74" s="14"/>
      <c r="AT74" s="5"/>
      <c r="AU74" s="15"/>
      <c r="AV74" s="15"/>
      <c r="AW74" s="15"/>
      <c r="AX74" s="8"/>
      <c r="AY74" s="5"/>
    </row>
    <row r="75" customFormat="false" ht="13.8" hidden="false" customHeight="false" outlineLevel="0" collapsed="false">
      <c r="A75" s="5"/>
      <c r="B75" s="6"/>
      <c r="C75" s="7"/>
      <c r="D75" s="7"/>
      <c r="E75" s="5"/>
      <c r="F75" s="8"/>
      <c r="G75" s="8"/>
      <c r="H75" s="8"/>
      <c r="I75" s="8"/>
      <c r="J75" s="5"/>
      <c r="U75" s="5"/>
      <c r="V75" s="13"/>
      <c r="W75" s="14"/>
      <c r="X75" s="7"/>
      <c r="Y75" s="7"/>
      <c r="Z75" s="7"/>
      <c r="AA75" s="7"/>
      <c r="AB75" s="7"/>
      <c r="AC75" s="5"/>
      <c r="AD75" s="5"/>
      <c r="AE75" s="8"/>
      <c r="AF75" s="8"/>
      <c r="AG75" s="8"/>
      <c r="AH75" s="5"/>
      <c r="AI75" s="7"/>
      <c r="AJ75" s="7"/>
      <c r="AK75" s="5"/>
      <c r="AL75" s="5"/>
      <c r="AM75" s="5"/>
      <c r="AN75" s="14"/>
      <c r="AO75" s="14"/>
      <c r="AP75" s="14"/>
      <c r="AQ75" s="14"/>
      <c r="AR75" s="14"/>
      <c r="AS75" s="14"/>
      <c r="AT75" s="5"/>
      <c r="AU75" s="15"/>
      <c r="AV75" s="15"/>
      <c r="AW75" s="15"/>
      <c r="AX75" s="8"/>
      <c r="AY75" s="5"/>
    </row>
    <row r="76" customFormat="false" ht="13.8" hidden="false" customHeight="false" outlineLevel="0" collapsed="false">
      <c r="A76" s="5"/>
      <c r="B76" s="6"/>
      <c r="C76" s="7"/>
      <c r="D76" s="7"/>
      <c r="E76" s="5"/>
      <c r="F76" s="8"/>
      <c r="G76" s="8"/>
      <c r="H76" s="8"/>
      <c r="I76" s="8"/>
      <c r="J76" s="5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5"/>
      <c r="V76" s="13"/>
      <c r="W76" s="14"/>
      <c r="X76" s="7"/>
      <c r="Y76" s="7"/>
      <c r="Z76" s="7"/>
      <c r="AA76" s="7"/>
      <c r="AB76" s="7"/>
      <c r="AC76" s="5"/>
      <c r="AD76" s="5"/>
      <c r="AE76" s="8"/>
      <c r="AF76" s="8"/>
      <c r="AG76" s="8"/>
      <c r="AH76" s="5"/>
      <c r="AI76" s="7"/>
      <c r="AJ76" s="7"/>
      <c r="AK76" s="5"/>
      <c r="AL76" s="5"/>
      <c r="AM76" s="5"/>
      <c r="AN76" s="14"/>
      <c r="AO76" s="14"/>
      <c r="AP76" s="14"/>
      <c r="AQ76" s="14"/>
      <c r="AR76" s="14"/>
      <c r="AS76" s="14"/>
      <c r="AT76" s="5"/>
      <c r="AU76" s="15"/>
      <c r="AV76" s="15"/>
      <c r="AW76" s="15"/>
      <c r="AX76" s="8"/>
      <c r="AY76" s="5"/>
    </row>
    <row r="77" customFormat="false" ht="13.8" hidden="false" customHeight="false" outlineLevel="0" collapsed="false">
      <c r="A77" s="5"/>
      <c r="B77" s="6"/>
      <c r="C77" s="7"/>
      <c r="D77" s="7"/>
      <c r="E77" s="5"/>
      <c r="F77" s="8"/>
      <c r="G77" s="8"/>
      <c r="H77" s="8"/>
      <c r="I77" s="8"/>
      <c r="J77" s="5"/>
      <c r="U77" s="5"/>
      <c r="V77" s="13"/>
      <c r="W77" s="14"/>
      <c r="X77" s="7"/>
      <c r="Y77" s="7"/>
      <c r="Z77" s="7"/>
      <c r="AA77" s="7"/>
      <c r="AB77" s="7"/>
      <c r="AC77" s="5"/>
      <c r="AD77" s="5"/>
      <c r="AE77" s="8"/>
      <c r="AF77" s="8"/>
      <c r="AG77" s="8"/>
      <c r="AH77" s="5"/>
      <c r="AI77" s="7"/>
      <c r="AJ77" s="7"/>
      <c r="AK77" s="5"/>
      <c r="AL77" s="5"/>
      <c r="AM77" s="5"/>
      <c r="AN77" s="14"/>
      <c r="AO77" s="14"/>
      <c r="AP77" s="14"/>
      <c r="AQ77" s="14"/>
      <c r="AR77" s="14"/>
      <c r="AS77" s="14"/>
      <c r="AT77" s="5"/>
      <c r="AU77" s="15"/>
      <c r="AV77" s="15"/>
      <c r="AW77" s="15"/>
      <c r="AX77" s="8"/>
      <c r="AY77" s="5"/>
    </row>
    <row r="78" customFormat="false" ht="13.8" hidden="false" customHeight="false" outlineLevel="0" collapsed="false">
      <c r="A78" s="5"/>
      <c r="B78" s="6"/>
      <c r="C78" s="7"/>
      <c r="D78" s="7"/>
      <c r="E78" s="5"/>
      <c r="F78" s="8"/>
      <c r="G78" s="8"/>
      <c r="H78" s="8"/>
      <c r="I78" s="8"/>
      <c r="J78" s="5"/>
      <c r="K78" s="19"/>
      <c r="L78" s="19"/>
      <c r="M78" s="19"/>
      <c r="N78" s="19"/>
      <c r="P78" s="19"/>
      <c r="Q78" s="19"/>
      <c r="R78" s="19"/>
      <c r="S78" s="19"/>
      <c r="T78" s="19"/>
      <c r="U78" s="5"/>
      <c r="V78" s="13"/>
      <c r="W78" s="14"/>
      <c r="X78" s="7"/>
      <c r="Y78" s="7"/>
      <c r="Z78" s="7"/>
      <c r="AA78" s="7"/>
      <c r="AB78" s="7"/>
      <c r="AC78" s="5"/>
      <c r="AD78" s="5"/>
      <c r="AE78" s="8"/>
      <c r="AF78" s="8"/>
      <c r="AG78" s="8"/>
      <c r="AH78" s="5"/>
      <c r="AI78" s="7"/>
      <c r="AJ78" s="7"/>
      <c r="AK78" s="5"/>
      <c r="AL78" s="5"/>
      <c r="AM78" s="5"/>
      <c r="AN78" s="14"/>
      <c r="AO78" s="14"/>
      <c r="AP78" s="14"/>
      <c r="AQ78" s="14"/>
      <c r="AR78" s="14"/>
      <c r="AS78" s="14"/>
      <c r="AT78" s="5"/>
      <c r="AU78" s="15"/>
      <c r="AV78" s="15"/>
      <c r="AW78" s="15"/>
      <c r="AX78" s="8"/>
      <c r="AY78" s="5"/>
    </row>
    <row r="79" customFormat="false" ht="13.8" hidden="false" customHeight="false" outlineLevel="0" collapsed="false">
      <c r="A79" s="5"/>
      <c r="B79" s="6"/>
      <c r="C79" s="7"/>
      <c r="D79" s="7"/>
      <c r="E79" s="5"/>
      <c r="F79" s="8"/>
      <c r="G79" s="8"/>
      <c r="H79" s="8"/>
      <c r="I79" s="8"/>
      <c r="J79" s="5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5"/>
      <c r="V79" s="13"/>
      <c r="W79" s="14"/>
      <c r="X79" s="7"/>
      <c r="Y79" s="7"/>
      <c r="Z79" s="7"/>
      <c r="AA79" s="7"/>
      <c r="AB79" s="7"/>
      <c r="AC79" s="5"/>
      <c r="AD79" s="5"/>
      <c r="AE79" s="8"/>
      <c r="AF79" s="8"/>
      <c r="AG79" s="8"/>
      <c r="AH79" s="5"/>
      <c r="AI79" s="7"/>
      <c r="AJ79" s="7"/>
      <c r="AK79" s="5"/>
      <c r="AL79" s="5"/>
      <c r="AM79" s="5"/>
      <c r="AN79" s="14"/>
      <c r="AO79" s="14"/>
      <c r="AP79" s="14"/>
      <c r="AQ79" s="14"/>
      <c r="AR79" s="14"/>
      <c r="AS79" s="14"/>
      <c r="AT79" s="5"/>
      <c r="AU79" s="15"/>
      <c r="AV79" s="15"/>
      <c r="AW79" s="15"/>
      <c r="AX79" s="8"/>
      <c r="AY79" s="5"/>
    </row>
    <row r="80" customFormat="false" ht="13.8" hidden="false" customHeight="false" outlineLevel="0" collapsed="false">
      <c r="A80" s="5"/>
      <c r="B80" s="6"/>
      <c r="C80" s="7"/>
      <c r="D80" s="7"/>
      <c r="E80" s="5"/>
      <c r="F80" s="8"/>
      <c r="G80" s="8"/>
      <c r="H80" s="8"/>
      <c r="I80" s="8"/>
      <c r="J80" s="5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5"/>
      <c r="V80" s="13"/>
      <c r="W80" s="14"/>
      <c r="X80" s="7"/>
      <c r="Y80" s="7"/>
      <c r="Z80" s="7"/>
      <c r="AA80" s="7"/>
      <c r="AB80" s="7"/>
      <c r="AC80" s="5"/>
      <c r="AD80" s="5"/>
      <c r="AE80" s="8"/>
      <c r="AF80" s="8"/>
      <c r="AG80" s="8"/>
      <c r="AH80" s="5"/>
      <c r="AI80" s="7"/>
      <c r="AJ80" s="7"/>
      <c r="AK80" s="5"/>
      <c r="AL80" s="5"/>
      <c r="AM80" s="5"/>
      <c r="AN80" s="14"/>
      <c r="AO80" s="14"/>
      <c r="AP80" s="14"/>
      <c r="AQ80" s="14"/>
      <c r="AR80" s="14"/>
      <c r="AS80" s="14"/>
      <c r="AT80" s="5"/>
      <c r="AU80" s="15"/>
      <c r="AV80" s="15"/>
      <c r="AW80" s="15"/>
      <c r="AX80" s="8"/>
      <c r="AY80" s="5"/>
    </row>
    <row r="81" customFormat="false" ht="13.8" hidden="false" customHeight="false" outlineLevel="0" collapsed="false">
      <c r="A81" s="5"/>
      <c r="B81" s="6"/>
      <c r="C81" s="7"/>
      <c r="D81" s="7"/>
      <c r="E81" s="5"/>
      <c r="F81" s="8"/>
      <c r="G81" s="8"/>
      <c r="H81" s="8"/>
      <c r="I81" s="8"/>
      <c r="J81" s="5"/>
      <c r="U81" s="5"/>
      <c r="V81" s="13"/>
      <c r="W81" s="14"/>
      <c r="X81" s="7"/>
      <c r="Y81" s="7"/>
      <c r="Z81" s="7"/>
      <c r="AA81" s="7"/>
      <c r="AB81" s="7"/>
      <c r="AC81" s="5"/>
      <c r="AD81" s="5"/>
      <c r="AE81" s="8"/>
      <c r="AF81" s="8"/>
      <c r="AG81" s="8"/>
      <c r="AH81" s="5"/>
      <c r="AI81" s="7"/>
      <c r="AJ81" s="7"/>
      <c r="AK81" s="5"/>
      <c r="AL81" s="5"/>
      <c r="AM81" s="5"/>
      <c r="AN81" s="14"/>
      <c r="AO81" s="14"/>
      <c r="AP81" s="14"/>
      <c r="AQ81" s="14"/>
      <c r="AR81" s="14"/>
      <c r="AS81" s="14"/>
      <c r="AT81" s="5"/>
      <c r="AU81" s="15"/>
      <c r="AV81" s="15"/>
      <c r="AW81" s="15"/>
      <c r="AX81" s="8"/>
      <c r="AY81" s="5"/>
    </row>
    <row r="82" customFormat="false" ht="13.8" hidden="false" customHeight="false" outlineLevel="0" collapsed="false">
      <c r="A82" s="5"/>
      <c r="B82" s="6"/>
      <c r="C82" s="7"/>
      <c r="D82" s="7"/>
      <c r="E82" s="5"/>
      <c r="F82" s="8"/>
      <c r="G82" s="8"/>
      <c r="H82" s="8"/>
      <c r="I82" s="8"/>
      <c r="J82" s="5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5"/>
      <c r="V82" s="13"/>
      <c r="W82" s="14"/>
      <c r="X82" s="7"/>
      <c r="Y82" s="7"/>
      <c r="Z82" s="7"/>
      <c r="AA82" s="7"/>
      <c r="AB82" s="7"/>
      <c r="AC82" s="5"/>
      <c r="AD82" s="5"/>
      <c r="AE82" s="8"/>
      <c r="AF82" s="8"/>
      <c r="AG82" s="8"/>
      <c r="AH82" s="5"/>
      <c r="AI82" s="7"/>
      <c r="AJ82" s="7"/>
      <c r="AK82" s="5"/>
      <c r="AL82" s="5"/>
      <c r="AM82" s="5"/>
      <c r="AN82" s="14"/>
      <c r="AO82" s="14"/>
      <c r="AP82" s="14"/>
      <c r="AQ82" s="14"/>
      <c r="AR82" s="14"/>
      <c r="AS82" s="14"/>
      <c r="AT82" s="5"/>
      <c r="AU82" s="15"/>
      <c r="AV82" s="15"/>
      <c r="AW82" s="15"/>
      <c r="AX82" s="8"/>
      <c r="AY82" s="5"/>
    </row>
    <row r="83" customFormat="false" ht="13.8" hidden="false" customHeight="false" outlineLevel="0" collapsed="false">
      <c r="A83" s="5"/>
      <c r="B83" s="6"/>
      <c r="C83" s="7"/>
      <c r="D83" s="7"/>
      <c r="E83" s="5"/>
      <c r="F83" s="8"/>
      <c r="G83" s="8"/>
      <c r="H83" s="8"/>
      <c r="I83" s="8"/>
      <c r="J83" s="5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5"/>
      <c r="V83" s="13"/>
      <c r="W83" s="14"/>
      <c r="X83" s="7"/>
      <c r="Y83" s="7"/>
      <c r="Z83" s="7"/>
      <c r="AA83" s="7"/>
      <c r="AB83" s="7"/>
      <c r="AC83" s="5"/>
      <c r="AD83" s="5"/>
      <c r="AE83" s="8"/>
      <c r="AF83" s="8"/>
      <c r="AG83" s="8"/>
      <c r="AH83" s="5"/>
      <c r="AI83" s="7"/>
      <c r="AJ83" s="7"/>
      <c r="AK83" s="5"/>
      <c r="AL83" s="5"/>
      <c r="AM83" s="5"/>
      <c r="AN83" s="14"/>
      <c r="AO83" s="14"/>
      <c r="AP83" s="14"/>
      <c r="AQ83" s="14"/>
      <c r="AR83" s="14"/>
      <c r="AS83" s="14"/>
      <c r="AT83" s="5"/>
      <c r="AU83" s="15"/>
      <c r="AV83" s="15"/>
      <c r="AW83" s="15"/>
      <c r="AX83" s="8"/>
      <c r="AY83" s="5"/>
    </row>
    <row r="84" customFormat="false" ht="13.8" hidden="false" customHeight="false" outlineLevel="0" collapsed="false">
      <c r="A84" s="5"/>
      <c r="B84" s="6"/>
      <c r="C84" s="7"/>
      <c r="D84" s="7"/>
      <c r="E84" s="5"/>
      <c r="F84" s="8"/>
      <c r="G84" s="8"/>
      <c r="H84" s="8"/>
      <c r="I84" s="8"/>
      <c r="J84" s="5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5"/>
      <c r="V84" s="13"/>
      <c r="W84" s="14"/>
      <c r="X84" s="7"/>
      <c r="Y84" s="7"/>
      <c r="Z84" s="7"/>
      <c r="AA84" s="7"/>
      <c r="AB84" s="7"/>
      <c r="AC84" s="5"/>
      <c r="AD84" s="5"/>
      <c r="AE84" s="8"/>
      <c r="AF84" s="8"/>
      <c r="AG84" s="8"/>
      <c r="AH84" s="5"/>
      <c r="AI84" s="7"/>
      <c r="AJ84" s="7"/>
      <c r="AK84" s="5"/>
      <c r="AL84" s="5"/>
      <c r="AM84" s="5"/>
      <c r="AN84" s="14"/>
      <c r="AO84" s="14"/>
      <c r="AP84" s="14"/>
      <c r="AQ84" s="14"/>
      <c r="AR84" s="14"/>
      <c r="AS84" s="14"/>
      <c r="AT84" s="5"/>
      <c r="AU84" s="15"/>
      <c r="AV84" s="15"/>
      <c r="AW84" s="15"/>
      <c r="AX84" s="8"/>
      <c r="AY84" s="5"/>
    </row>
    <row r="85" customFormat="false" ht="13.8" hidden="false" customHeight="false" outlineLevel="0" collapsed="false">
      <c r="A85" s="5"/>
      <c r="B85" s="6"/>
      <c r="C85" s="7"/>
      <c r="D85" s="7"/>
      <c r="E85" s="5"/>
      <c r="F85" s="8"/>
      <c r="G85" s="8"/>
      <c r="H85" s="8"/>
      <c r="I85" s="8"/>
      <c r="J85" s="5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5"/>
      <c r="V85" s="13"/>
      <c r="W85" s="14"/>
      <c r="X85" s="7"/>
      <c r="Y85" s="7"/>
      <c r="Z85" s="7"/>
      <c r="AA85" s="7"/>
      <c r="AB85" s="7"/>
      <c r="AC85" s="5"/>
      <c r="AD85" s="5"/>
      <c r="AE85" s="8"/>
      <c r="AF85" s="8"/>
      <c r="AG85" s="8"/>
      <c r="AH85" s="5"/>
      <c r="AI85" s="7"/>
      <c r="AJ85" s="7"/>
      <c r="AK85" s="5"/>
      <c r="AL85" s="5"/>
      <c r="AM85" s="5"/>
      <c r="AN85" s="14"/>
      <c r="AO85" s="14"/>
      <c r="AP85" s="14"/>
      <c r="AQ85" s="14"/>
      <c r="AR85" s="14"/>
      <c r="AS85" s="14"/>
      <c r="AT85" s="5"/>
      <c r="AU85" s="15"/>
      <c r="AV85" s="15"/>
      <c r="AW85" s="15"/>
      <c r="AX85" s="8"/>
      <c r="AY85" s="5"/>
    </row>
    <row r="86" customFormat="false" ht="13.8" hidden="false" customHeight="false" outlineLevel="0" collapsed="false">
      <c r="A86" s="5"/>
      <c r="B86" s="6"/>
      <c r="C86" s="7"/>
      <c r="D86" s="7"/>
      <c r="E86" s="5"/>
      <c r="F86" s="8"/>
      <c r="G86" s="8"/>
      <c r="H86" s="8"/>
      <c r="I86" s="8"/>
      <c r="J86" s="5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5"/>
      <c r="V86" s="13"/>
      <c r="W86" s="14"/>
      <c r="X86" s="7"/>
      <c r="Y86" s="7"/>
      <c r="Z86" s="7"/>
      <c r="AA86" s="7"/>
      <c r="AB86" s="7"/>
      <c r="AC86" s="5"/>
      <c r="AD86" s="5"/>
      <c r="AE86" s="8"/>
      <c r="AF86" s="8"/>
      <c r="AG86" s="8"/>
      <c r="AH86" s="5"/>
      <c r="AI86" s="7"/>
      <c r="AJ86" s="7"/>
      <c r="AK86" s="5"/>
      <c r="AL86" s="5"/>
      <c r="AM86" s="5"/>
      <c r="AN86" s="14"/>
      <c r="AO86" s="14"/>
      <c r="AP86" s="14"/>
      <c r="AQ86" s="14"/>
      <c r="AR86" s="14"/>
      <c r="AS86" s="14"/>
      <c r="AT86" s="5"/>
      <c r="AU86" s="15"/>
      <c r="AV86" s="15"/>
      <c r="AW86" s="15"/>
      <c r="AX86" s="8"/>
      <c r="AY86" s="5"/>
    </row>
    <row r="87" customFormat="false" ht="13.8" hidden="false" customHeight="false" outlineLevel="0" collapsed="false">
      <c r="A87" s="5"/>
      <c r="B87" s="6"/>
      <c r="C87" s="7"/>
      <c r="D87" s="7"/>
      <c r="E87" s="5"/>
      <c r="F87" s="8"/>
      <c r="G87" s="8"/>
      <c r="H87" s="8"/>
      <c r="I87" s="8"/>
      <c r="J87" s="5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5"/>
      <c r="V87" s="13"/>
      <c r="W87" s="14"/>
      <c r="X87" s="7"/>
      <c r="Y87" s="7"/>
      <c r="Z87" s="7"/>
      <c r="AA87" s="7"/>
      <c r="AB87" s="7"/>
      <c r="AC87" s="5"/>
      <c r="AD87" s="5"/>
      <c r="AE87" s="8"/>
      <c r="AF87" s="8"/>
      <c r="AG87" s="8"/>
      <c r="AH87" s="5"/>
      <c r="AI87" s="7"/>
      <c r="AJ87" s="7"/>
      <c r="AK87" s="5"/>
      <c r="AL87" s="5"/>
      <c r="AM87" s="5"/>
      <c r="AN87" s="14"/>
      <c r="AO87" s="14"/>
      <c r="AP87" s="14"/>
      <c r="AQ87" s="14"/>
      <c r="AR87" s="14"/>
      <c r="AS87" s="14"/>
      <c r="AT87" s="5"/>
      <c r="AU87" s="15"/>
      <c r="AV87" s="15"/>
      <c r="AW87" s="15"/>
      <c r="AX87" s="8"/>
      <c r="AY87" s="5"/>
    </row>
    <row r="88" customFormat="false" ht="13.8" hidden="false" customHeight="false" outlineLevel="0" collapsed="false">
      <c r="A88" s="5"/>
      <c r="B88" s="6"/>
      <c r="C88" s="7"/>
      <c r="D88" s="7"/>
      <c r="E88" s="5"/>
      <c r="F88" s="8"/>
      <c r="G88" s="8"/>
      <c r="H88" s="8"/>
      <c r="I88" s="8"/>
      <c r="J88" s="5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5"/>
      <c r="V88" s="13"/>
      <c r="W88" s="14"/>
      <c r="X88" s="7"/>
      <c r="Y88" s="7"/>
      <c r="Z88" s="7"/>
      <c r="AA88" s="7"/>
      <c r="AB88" s="7"/>
      <c r="AC88" s="5"/>
      <c r="AD88" s="5"/>
      <c r="AE88" s="8"/>
      <c r="AF88" s="8"/>
      <c r="AG88" s="8"/>
      <c r="AH88" s="5"/>
      <c r="AI88" s="7"/>
      <c r="AJ88" s="7"/>
      <c r="AK88" s="5"/>
      <c r="AL88" s="5"/>
      <c r="AM88" s="5"/>
      <c r="AN88" s="14"/>
      <c r="AO88" s="14"/>
      <c r="AP88" s="14"/>
      <c r="AQ88" s="14"/>
      <c r="AR88" s="14"/>
      <c r="AS88" s="14"/>
      <c r="AT88" s="5"/>
      <c r="AU88" s="15"/>
      <c r="AV88" s="15"/>
      <c r="AW88" s="15"/>
      <c r="AX88" s="8"/>
      <c r="AY88" s="5"/>
    </row>
    <row r="89" customFormat="false" ht="13.8" hidden="false" customHeight="false" outlineLevel="0" collapsed="false">
      <c r="A89" s="5"/>
      <c r="B89" s="6"/>
      <c r="C89" s="7"/>
      <c r="D89" s="7"/>
      <c r="E89" s="5"/>
      <c r="F89" s="8"/>
      <c r="G89" s="8"/>
      <c r="H89" s="8"/>
      <c r="I89" s="8"/>
      <c r="J89" s="5"/>
      <c r="U89" s="5"/>
      <c r="V89" s="13"/>
      <c r="W89" s="14"/>
      <c r="X89" s="7"/>
      <c r="Y89" s="7"/>
      <c r="Z89" s="7"/>
      <c r="AA89" s="7"/>
      <c r="AB89" s="7"/>
      <c r="AC89" s="5"/>
      <c r="AD89" s="5"/>
      <c r="AE89" s="8"/>
      <c r="AF89" s="8"/>
      <c r="AG89" s="8"/>
      <c r="AH89" s="5"/>
      <c r="AI89" s="7"/>
      <c r="AJ89" s="7"/>
      <c r="AK89" s="5"/>
      <c r="AL89" s="5"/>
      <c r="AM89" s="5"/>
      <c r="AN89" s="14"/>
      <c r="AO89" s="14"/>
      <c r="AP89" s="14"/>
      <c r="AQ89" s="14"/>
      <c r="AR89" s="14"/>
      <c r="AS89" s="14"/>
      <c r="AT89" s="5"/>
      <c r="AU89" s="15"/>
      <c r="AV89" s="15"/>
      <c r="AW89" s="15"/>
      <c r="AX89" s="8"/>
      <c r="AY89" s="5"/>
    </row>
    <row r="90" customFormat="false" ht="13.8" hidden="false" customHeight="false" outlineLevel="0" collapsed="false">
      <c r="A90" s="5"/>
      <c r="B90" s="6"/>
      <c r="C90" s="7"/>
      <c r="D90" s="7"/>
      <c r="E90" s="5"/>
      <c r="F90" s="8"/>
      <c r="G90" s="8"/>
      <c r="H90" s="8"/>
      <c r="I90" s="8"/>
      <c r="J90" s="5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5"/>
      <c r="V90" s="13"/>
      <c r="W90" s="14"/>
      <c r="X90" s="7"/>
      <c r="Y90" s="7"/>
      <c r="Z90" s="7"/>
      <c r="AA90" s="7"/>
      <c r="AB90" s="7"/>
      <c r="AC90" s="5"/>
      <c r="AD90" s="5"/>
      <c r="AE90" s="8"/>
      <c r="AF90" s="8"/>
      <c r="AG90" s="8"/>
      <c r="AH90" s="5"/>
      <c r="AI90" s="7"/>
      <c r="AJ90" s="7"/>
      <c r="AK90" s="5"/>
      <c r="AL90" s="5"/>
      <c r="AM90" s="5"/>
      <c r="AN90" s="14"/>
      <c r="AO90" s="14"/>
      <c r="AP90" s="14"/>
      <c r="AQ90" s="14"/>
      <c r="AR90" s="14"/>
      <c r="AS90" s="14"/>
      <c r="AT90" s="5"/>
      <c r="AU90" s="15"/>
      <c r="AV90" s="15"/>
      <c r="AW90" s="15"/>
      <c r="AX90" s="8"/>
      <c r="AY90" s="5"/>
    </row>
    <row r="91" customFormat="false" ht="13.8" hidden="false" customHeight="false" outlineLevel="0" collapsed="false">
      <c r="A91" s="5"/>
      <c r="B91" s="6"/>
      <c r="C91" s="7"/>
      <c r="D91" s="7"/>
      <c r="E91" s="5"/>
      <c r="F91" s="8"/>
      <c r="G91" s="8"/>
      <c r="H91" s="8"/>
      <c r="I91" s="8"/>
      <c r="J91" s="5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5"/>
      <c r="V91" s="13"/>
      <c r="W91" s="14"/>
      <c r="X91" s="7"/>
      <c r="Y91" s="7"/>
      <c r="Z91" s="7"/>
      <c r="AA91" s="7"/>
      <c r="AB91" s="7"/>
      <c r="AC91" s="5"/>
      <c r="AD91" s="5"/>
      <c r="AE91" s="8"/>
      <c r="AF91" s="8"/>
      <c r="AG91" s="8"/>
      <c r="AH91" s="5"/>
      <c r="AI91" s="7"/>
      <c r="AJ91" s="7"/>
      <c r="AK91" s="5"/>
      <c r="AL91" s="5"/>
      <c r="AM91" s="5"/>
      <c r="AN91" s="14"/>
      <c r="AO91" s="14"/>
      <c r="AP91" s="14"/>
      <c r="AQ91" s="14"/>
      <c r="AR91" s="14"/>
      <c r="AS91" s="14"/>
      <c r="AT91" s="5"/>
      <c r="AU91" s="15"/>
      <c r="AV91" s="15"/>
      <c r="AW91" s="15"/>
      <c r="AX91" s="8"/>
      <c r="AY91" s="5"/>
    </row>
    <row r="92" customFormat="false" ht="13.8" hidden="false" customHeight="false" outlineLevel="0" collapsed="false">
      <c r="A92" s="5"/>
      <c r="B92" s="6"/>
      <c r="C92" s="7"/>
      <c r="D92" s="7"/>
      <c r="E92" s="5"/>
      <c r="F92" s="8"/>
      <c r="G92" s="8"/>
      <c r="H92" s="8"/>
      <c r="I92" s="8"/>
      <c r="J92" s="5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5"/>
      <c r="V92" s="13"/>
      <c r="W92" s="14"/>
      <c r="X92" s="7"/>
      <c r="Y92" s="7"/>
      <c r="Z92" s="7"/>
      <c r="AA92" s="7"/>
      <c r="AB92" s="7"/>
      <c r="AC92" s="5"/>
      <c r="AD92" s="5"/>
      <c r="AE92" s="8"/>
      <c r="AF92" s="8"/>
      <c r="AG92" s="8"/>
      <c r="AH92" s="5"/>
      <c r="AI92" s="7"/>
      <c r="AJ92" s="7"/>
      <c r="AK92" s="5"/>
      <c r="AL92" s="5"/>
      <c r="AM92" s="5"/>
      <c r="AN92" s="14"/>
      <c r="AO92" s="14"/>
      <c r="AP92" s="14"/>
      <c r="AQ92" s="14"/>
      <c r="AR92" s="14"/>
      <c r="AS92" s="14"/>
      <c r="AT92" s="5"/>
      <c r="AU92" s="15"/>
      <c r="AV92" s="15"/>
      <c r="AW92" s="15"/>
      <c r="AX92" s="8"/>
      <c r="AY92" s="5"/>
    </row>
    <row r="93" customFormat="false" ht="13.8" hidden="false" customHeight="false" outlineLevel="0" collapsed="false">
      <c r="A93" s="5"/>
      <c r="B93" s="6"/>
      <c r="C93" s="7"/>
      <c r="D93" s="7"/>
      <c r="E93" s="5"/>
      <c r="F93" s="8"/>
      <c r="G93" s="8"/>
      <c r="H93" s="8"/>
      <c r="I93" s="8"/>
      <c r="J93" s="5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5"/>
      <c r="V93" s="13"/>
      <c r="W93" s="14"/>
      <c r="X93" s="7"/>
      <c r="Y93" s="7"/>
      <c r="Z93" s="7"/>
      <c r="AA93" s="7"/>
      <c r="AB93" s="7"/>
      <c r="AC93" s="5"/>
      <c r="AD93" s="5"/>
      <c r="AE93" s="8"/>
      <c r="AF93" s="8"/>
      <c r="AG93" s="8"/>
      <c r="AH93" s="5"/>
      <c r="AI93" s="7"/>
      <c r="AJ93" s="7"/>
      <c r="AK93" s="5"/>
      <c r="AL93" s="5"/>
      <c r="AM93" s="5"/>
      <c r="AN93" s="14"/>
      <c r="AO93" s="14"/>
      <c r="AP93" s="14"/>
      <c r="AQ93" s="14"/>
      <c r="AR93" s="14"/>
      <c r="AS93" s="14"/>
      <c r="AT93" s="5"/>
      <c r="AU93" s="15"/>
      <c r="AV93" s="15"/>
      <c r="AW93" s="15"/>
      <c r="AX93" s="8"/>
      <c r="AY93" s="5"/>
    </row>
    <row r="94" customFormat="false" ht="13.8" hidden="false" customHeight="false" outlineLevel="0" collapsed="false">
      <c r="A94" s="5"/>
      <c r="B94" s="6"/>
      <c r="C94" s="7"/>
      <c r="D94" s="7"/>
      <c r="E94" s="5"/>
      <c r="F94" s="8"/>
      <c r="G94" s="8"/>
      <c r="H94" s="8"/>
      <c r="I94" s="8"/>
      <c r="J94" s="5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5"/>
      <c r="V94" s="13"/>
      <c r="W94" s="14"/>
      <c r="X94" s="7"/>
      <c r="Y94" s="7"/>
      <c r="Z94" s="7"/>
      <c r="AA94" s="7"/>
      <c r="AB94" s="7"/>
      <c r="AC94" s="5"/>
      <c r="AD94" s="5"/>
      <c r="AE94" s="8"/>
      <c r="AF94" s="8"/>
      <c r="AG94" s="8"/>
      <c r="AH94" s="5"/>
      <c r="AI94" s="7"/>
      <c r="AJ94" s="7"/>
      <c r="AK94" s="5"/>
      <c r="AL94" s="5"/>
      <c r="AM94" s="5"/>
      <c r="AN94" s="14"/>
      <c r="AO94" s="14"/>
      <c r="AP94" s="14"/>
      <c r="AQ94" s="14"/>
      <c r="AR94" s="14"/>
      <c r="AS94" s="14"/>
      <c r="AT94" s="5"/>
      <c r="AU94" s="15"/>
      <c r="AV94" s="15"/>
      <c r="AW94" s="15"/>
      <c r="AX94" s="8"/>
      <c r="AY94" s="5"/>
    </row>
    <row r="95" customFormat="false" ht="13.8" hidden="false" customHeight="false" outlineLevel="0" collapsed="false">
      <c r="A95" s="5"/>
      <c r="B95" s="6"/>
      <c r="C95" s="7"/>
      <c r="D95" s="7"/>
      <c r="E95" s="5"/>
      <c r="F95" s="8"/>
      <c r="G95" s="8"/>
      <c r="H95" s="8"/>
      <c r="I95" s="8"/>
      <c r="J95" s="5"/>
      <c r="U95" s="5"/>
      <c r="V95" s="13"/>
      <c r="W95" s="14"/>
      <c r="X95" s="7"/>
      <c r="Y95" s="7"/>
      <c r="Z95" s="7"/>
      <c r="AA95" s="7"/>
      <c r="AB95" s="7"/>
      <c r="AC95" s="5"/>
      <c r="AD95" s="5"/>
      <c r="AE95" s="8"/>
      <c r="AF95" s="8"/>
      <c r="AG95" s="8"/>
      <c r="AH95" s="5"/>
      <c r="AI95" s="7"/>
      <c r="AJ95" s="7"/>
      <c r="AK95" s="5"/>
      <c r="AL95" s="5"/>
      <c r="AM95" s="5"/>
      <c r="AN95" s="14"/>
      <c r="AO95" s="14"/>
      <c r="AP95" s="14"/>
      <c r="AQ95" s="14"/>
      <c r="AR95" s="14"/>
      <c r="AS95" s="14"/>
      <c r="AT95" s="5"/>
      <c r="AU95" s="15"/>
      <c r="AV95" s="15"/>
      <c r="AW95" s="15"/>
      <c r="AX95" s="8"/>
      <c r="AY95" s="5"/>
    </row>
    <row r="96" customFormat="false" ht="13.8" hidden="false" customHeight="false" outlineLevel="0" collapsed="false">
      <c r="A96" s="5"/>
      <c r="B96" s="6"/>
      <c r="C96" s="7"/>
      <c r="D96" s="7"/>
      <c r="E96" s="5"/>
      <c r="F96" s="8"/>
      <c r="G96" s="8"/>
      <c r="H96" s="8"/>
      <c r="I96" s="8"/>
      <c r="J96" s="5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5"/>
      <c r="V96" s="13"/>
      <c r="W96" s="14"/>
      <c r="X96" s="7"/>
      <c r="Y96" s="7"/>
      <c r="Z96" s="7"/>
      <c r="AA96" s="7"/>
      <c r="AB96" s="7"/>
      <c r="AC96" s="5"/>
      <c r="AD96" s="5"/>
      <c r="AE96" s="8"/>
      <c r="AF96" s="8"/>
      <c r="AG96" s="8"/>
      <c r="AH96" s="5"/>
      <c r="AI96" s="7"/>
      <c r="AJ96" s="7"/>
      <c r="AK96" s="5"/>
      <c r="AL96" s="5"/>
      <c r="AM96" s="5"/>
      <c r="AN96" s="14"/>
      <c r="AO96" s="14"/>
      <c r="AP96" s="14"/>
      <c r="AQ96" s="14"/>
      <c r="AR96" s="14"/>
      <c r="AS96" s="14"/>
      <c r="AT96" s="5"/>
      <c r="AU96" s="15"/>
      <c r="AV96" s="15"/>
      <c r="AW96" s="15"/>
      <c r="AX96" s="8"/>
      <c r="AY96" s="5"/>
    </row>
    <row r="97" customFormat="false" ht="13.8" hidden="false" customHeight="false" outlineLevel="0" collapsed="false">
      <c r="A97" s="5"/>
      <c r="B97" s="6"/>
      <c r="C97" s="7"/>
      <c r="D97" s="7"/>
      <c r="E97" s="5"/>
      <c r="F97" s="8"/>
      <c r="G97" s="8"/>
      <c r="H97" s="8"/>
      <c r="I97" s="8"/>
      <c r="J97" s="5"/>
      <c r="U97" s="5"/>
      <c r="V97" s="13"/>
      <c r="W97" s="14"/>
      <c r="X97" s="7"/>
      <c r="Y97" s="7"/>
      <c r="Z97" s="7"/>
      <c r="AA97" s="7"/>
      <c r="AB97" s="7"/>
      <c r="AC97" s="5"/>
      <c r="AD97" s="5"/>
      <c r="AE97" s="8"/>
      <c r="AF97" s="8"/>
      <c r="AG97" s="8"/>
      <c r="AH97" s="5"/>
      <c r="AI97" s="7"/>
      <c r="AJ97" s="7"/>
      <c r="AK97" s="5"/>
      <c r="AL97" s="5"/>
      <c r="AM97" s="5"/>
      <c r="AN97" s="14"/>
      <c r="AO97" s="14"/>
      <c r="AP97" s="14"/>
      <c r="AQ97" s="14"/>
      <c r="AR97" s="14"/>
      <c r="AS97" s="14"/>
      <c r="AT97" s="5"/>
      <c r="AU97" s="15"/>
      <c r="AV97" s="15"/>
      <c r="AW97" s="15"/>
      <c r="AX97" s="8"/>
      <c r="AY97" s="5"/>
    </row>
    <row r="98" customFormat="false" ht="13.8" hidden="false" customHeight="false" outlineLevel="0" collapsed="false">
      <c r="A98" s="5"/>
      <c r="B98" s="6"/>
      <c r="C98" s="7"/>
      <c r="D98" s="7"/>
      <c r="E98" s="5"/>
      <c r="F98" s="8"/>
      <c r="G98" s="8"/>
      <c r="H98" s="8"/>
      <c r="I98" s="8"/>
      <c r="J98" s="5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5"/>
      <c r="V98" s="13"/>
      <c r="W98" s="14"/>
      <c r="X98" s="7"/>
      <c r="Y98" s="7"/>
      <c r="Z98" s="7"/>
      <c r="AA98" s="7"/>
      <c r="AB98" s="7"/>
      <c r="AC98" s="5"/>
      <c r="AD98" s="5"/>
      <c r="AE98" s="8"/>
      <c r="AF98" s="8"/>
      <c r="AG98" s="8"/>
      <c r="AH98" s="5"/>
      <c r="AI98" s="7"/>
      <c r="AJ98" s="7"/>
      <c r="AK98" s="5"/>
      <c r="AL98" s="5"/>
      <c r="AM98" s="5"/>
      <c r="AN98" s="14"/>
      <c r="AO98" s="14"/>
      <c r="AP98" s="14"/>
      <c r="AQ98" s="14"/>
      <c r="AR98" s="14"/>
      <c r="AS98" s="14"/>
      <c r="AT98" s="5"/>
      <c r="AU98" s="15"/>
      <c r="AV98" s="15"/>
      <c r="AW98" s="15"/>
      <c r="AX98" s="8"/>
      <c r="AY98" s="5"/>
    </row>
    <row r="99" customFormat="false" ht="13.8" hidden="false" customHeight="false" outlineLevel="0" collapsed="false">
      <c r="A99" s="5"/>
      <c r="B99" s="6"/>
      <c r="C99" s="7"/>
      <c r="D99" s="7"/>
      <c r="E99" s="5"/>
      <c r="F99" s="8"/>
      <c r="G99" s="8"/>
      <c r="H99" s="8"/>
      <c r="I99" s="8"/>
      <c r="J99" s="5"/>
      <c r="U99" s="5"/>
      <c r="V99" s="13"/>
      <c r="W99" s="14"/>
      <c r="X99" s="7"/>
      <c r="Y99" s="7"/>
      <c r="Z99" s="7"/>
      <c r="AA99" s="7"/>
      <c r="AB99" s="7"/>
      <c r="AC99" s="5"/>
      <c r="AD99" s="5"/>
      <c r="AE99" s="8"/>
      <c r="AF99" s="8"/>
      <c r="AG99" s="8"/>
      <c r="AH99" s="5"/>
      <c r="AI99" s="7"/>
      <c r="AJ99" s="7"/>
      <c r="AK99" s="5"/>
      <c r="AL99" s="5"/>
      <c r="AM99" s="5"/>
      <c r="AN99" s="14"/>
      <c r="AO99" s="14"/>
      <c r="AP99" s="14"/>
      <c r="AQ99" s="14"/>
      <c r="AR99" s="14"/>
      <c r="AS99" s="14"/>
      <c r="AT99" s="5"/>
      <c r="AU99" s="15"/>
      <c r="AV99" s="15"/>
      <c r="AW99" s="15"/>
      <c r="AX99" s="8"/>
      <c r="AY99" s="5"/>
    </row>
    <row r="100" customFormat="false" ht="13.8" hidden="false" customHeight="false" outlineLevel="0" collapsed="false">
      <c r="A100" s="5"/>
      <c r="B100" s="6"/>
      <c r="C100" s="7"/>
      <c r="D100" s="7"/>
      <c r="E100" s="5"/>
      <c r="F100" s="8"/>
      <c r="G100" s="8"/>
      <c r="H100" s="8"/>
      <c r="I100" s="8"/>
      <c r="J100" s="5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5"/>
      <c r="V100" s="13"/>
      <c r="W100" s="14"/>
      <c r="X100" s="7"/>
      <c r="Y100" s="7"/>
      <c r="Z100" s="7"/>
      <c r="AA100" s="7"/>
      <c r="AB100" s="7"/>
      <c r="AC100" s="5"/>
      <c r="AD100" s="5"/>
      <c r="AE100" s="8"/>
      <c r="AF100" s="8"/>
      <c r="AG100" s="8"/>
      <c r="AH100" s="5"/>
      <c r="AI100" s="7"/>
      <c r="AJ100" s="7"/>
      <c r="AK100" s="5"/>
      <c r="AL100" s="5"/>
      <c r="AM100" s="5"/>
      <c r="AN100" s="14"/>
      <c r="AO100" s="14"/>
      <c r="AP100" s="14"/>
      <c r="AQ100" s="14"/>
      <c r="AR100" s="14"/>
      <c r="AS100" s="14"/>
      <c r="AT100" s="5"/>
      <c r="AU100" s="15"/>
      <c r="AV100" s="15"/>
      <c r="AW100" s="15"/>
      <c r="AX100" s="8"/>
      <c r="AY100" s="5"/>
    </row>
    <row r="101" customFormat="false" ht="13.8" hidden="false" customHeight="false" outlineLevel="0" collapsed="false">
      <c r="A101" s="5"/>
      <c r="B101" s="6"/>
      <c r="C101" s="7"/>
      <c r="D101" s="7"/>
      <c r="E101" s="5"/>
      <c r="F101" s="8"/>
      <c r="G101" s="8"/>
      <c r="H101" s="8"/>
      <c r="I101" s="8"/>
      <c r="J101" s="5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5"/>
      <c r="V101" s="13"/>
      <c r="W101" s="14"/>
      <c r="X101" s="7"/>
      <c r="Y101" s="7"/>
      <c r="Z101" s="7"/>
      <c r="AA101" s="7"/>
      <c r="AB101" s="7"/>
      <c r="AC101" s="5"/>
      <c r="AD101" s="5"/>
      <c r="AE101" s="8"/>
      <c r="AF101" s="8"/>
      <c r="AG101" s="8"/>
      <c r="AH101" s="5"/>
      <c r="AI101" s="7"/>
      <c r="AJ101" s="7"/>
      <c r="AK101" s="5"/>
      <c r="AL101" s="5"/>
      <c r="AM101" s="5"/>
      <c r="AN101" s="14"/>
      <c r="AO101" s="14"/>
      <c r="AP101" s="14"/>
      <c r="AQ101" s="14"/>
      <c r="AR101" s="14"/>
      <c r="AS101" s="14"/>
      <c r="AT101" s="5"/>
      <c r="AU101" s="15"/>
      <c r="AV101" s="15"/>
      <c r="AW101" s="15"/>
      <c r="AX101" s="8"/>
      <c r="AY101" s="5"/>
    </row>
    <row r="102" customFormat="false" ht="13.8" hidden="false" customHeight="false" outlineLevel="0" collapsed="false">
      <c r="A102" s="5"/>
      <c r="B102" s="6"/>
      <c r="C102" s="7"/>
      <c r="D102" s="7"/>
      <c r="E102" s="5"/>
      <c r="F102" s="8"/>
      <c r="G102" s="8"/>
      <c r="H102" s="8"/>
      <c r="I102" s="8"/>
      <c r="J102" s="5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5"/>
      <c r="V102" s="13"/>
      <c r="W102" s="14"/>
      <c r="X102" s="7"/>
      <c r="Y102" s="7"/>
      <c r="Z102" s="7"/>
      <c r="AA102" s="7"/>
      <c r="AB102" s="7"/>
      <c r="AC102" s="5"/>
      <c r="AD102" s="5"/>
      <c r="AE102" s="8"/>
      <c r="AF102" s="8"/>
      <c r="AG102" s="8"/>
      <c r="AH102" s="5"/>
      <c r="AI102" s="7"/>
      <c r="AJ102" s="7"/>
      <c r="AK102" s="5"/>
      <c r="AL102" s="5"/>
      <c r="AM102" s="5"/>
      <c r="AN102" s="14"/>
      <c r="AO102" s="14"/>
      <c r="AP102" s="14"/>
      <c r="AQ102" s="14"/>
      <c r="AR102" s="14"/>
      <c r="AS102" s="14"/>
      <c r="AT102" s="5"/>
      <c r="AU102" s="15"/>
      <c r="AV102" s="15"/>
      <c r="AW102" s="15"/>
      <c r="AX102" s="8"/>
      <c r="AY102" s="5"/>
    </row>
    <row r="103" customFormat="false" ht="13.8" hidden="false" customHeight="false" outlineLevel="0" collapsed="false">
      <c r="A103" s="5"/>
      <c r="B103" s="6"/>
      <c r="C103" s="7"/>
      <c r="D103" s="7"/>
      <c r="E103" s="5"/>
      <c r="F103" s="8"/>
      <c r="G103" s="8"/>
      <c r="H103" s="8"/>
      <c r="I103" s="8"/>
      <c r="J103" s="5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5"/>
      <c r="V103" s="13"/>
      <c r="W103" s="14"/>
      <c r="X103" s="7"/>
      <c r="Y103" s="7"/>
      <c r="Z103" s="7"/>
      <c r="AA103" s="7"/>
      <c r="AB103" s="7"/>
      <c r="AC103" s="5"/>
      <c r="AD103" s="5"/>
      <c r="AE103" s="8"/>
      <c r="AF103" s="8"/>
      <c r="AG103" s="8"/>
      <c r="AH103" s="5"/>
      <c r="AI103" s="7"/>
      <c r="AJ103" s="7"/>
      <c r="AK103" s="5"/>
      <c r="AL103" s="5"/>
      <c r="AM103" s="5"/>
      <c r="AN103" s="14"/>
      <c r="AO103" s="14"/>
      <c r="AP103" s="14"/>
      <c r="AQ103" s="14"/>
      <c r="AR103" s="14"/>
      <c r="AS103" s="14"/>
      <c r="AT103" s="5"/>
      <c r="AU103" s="15"/>
      <c r="AV103" s="15"/>
      <c r="AW103" s="15"/>
      <c r="AX103" s="8"/>
      <c r="AY103" s="5"/>
    </row>
    <row r="104" customFormat="false" ht="13.8" hidden="false" customHeight="false" outlineLevel="0" collapsed="false">
      <c r="A104" s="5"/>
      <c r="B104" s="6"/>
      <c r="C104" s="7"/>
      <c r="D104" s="7"/>
      <c r="E104" s="5"/>
      <c r="F104" s="8"/>
      <c r="G104" s="8"/>
      <c r="H104" s="8"/>
      <c r="I104" s="8"/>
      <c r="J104" s="5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5"/>
      <c r="V104" s="13"/>
      <c r="W104" s="14"/>
      <c r="X104" s="7"/>
      <c r="Y104" s="7"/>
      <c r="Z104" s="7"/>
      <c r="AA104" s="7"/>
      <c r="AB104" s="7"/>
      <c r="AC104" s="5"/>
      <c r="AD104" s="5"/>
      <c r="AE104" s="8"/>
      <c r="AF104" s="8"/>
      <c r="AG104" s="8"/>
      <c r="AH104" s="5"/>
      <c r="AI104" s="7"/>
      <c r="AJ104" s="7"/>
      <c r="AK104" s="5"/>
      <c r="AL104" s="5"/>
      <c r="AM104" s="5"/>
      <c r="AN104" s="14"/>
      <c r="AO104" s="14"/>
      <c r="AP104" s="14"/>
      <c r="AQ104" s="14"/>
      <c r="AR104" s="14"/>
      <c r="AS104" s="14"/>
      <c r="AT104" s="5"/>
      <c r="AU104" s="15"/>
      <c r="AV104" s="15"/>
      <c r="AW104" s="15"/>
      <c r="AX104" s="8"/>
      <c r="AY104" s="5"/>
    </row>
    <row r="105" customFormat="false" ht="13.8" hidden="false" customHeight="false" outlineLevel="0" collapsed="false">
      <c r="A105" s="5"/>
      <c r="B105" s="6"/>
      <c r="C105" s="7"/>
      <c r="D105" s="7"/>
      <c r="E105" s="5"/>
      <c r="F105" s="8"/>
      <c r="G105" s="8"/>
      <c r="H105" s="8"/>
      <c r="I105" s="8"/>
      <c r="J105" s="5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5"/>
      <c r="V105" s="13"/>
      <c r="W105" s="14"/>
      <c r="X105" s="7"/>
      <c r="Y105" s="7"/>
      <c r="Z105" s="7"/>
      <c r="AA105" s="7"/>
      <c r="AB105" s="7"/>
      <c r="AC105" s="5"/>
      <c r="AD105" s="5"/>
      <c r="AE105" s="8"/>
      <c r="AF105" s="8"/>
      <c r="AG105" s="8"/>
      <c r="AH105" s="5"/>
      <c r="AI105" s="7"/>
      <c r="AJ105" s="7"/>
      <c r="AK105" s="5"/>
      <c r="AL105" s="5"/>
      <c r="AM105" s="5"/>
      <c r="AN105" s="14"/>
      <c r="AO105" s="14"/>
      <c r="AP105" s="14"/>
      <c r="AQ105" s="14"/>
      <c r="AR105" s="14"/>
      <c r="AS105" s="14"/>
      <c r="AT105" s="5"/>
      <c r="AU105" s="15"/>
      <c r="AV105" s="15"/>
      <c r="AW105" s="15"/>
      <c r="AX105" s="8"/>
      <c r="AY105" s="5"/>
    </row>
    <row r="106" customFormat="false" ht="13.8" hidden="false" customHeight="false" outlineLevel="0" collapsed="false">
      <c r="A106" s="5"/>
      <c r="B106" s="6"/>
      <c r="C106" s="7"/>
      <c r="D106" s="7"/>
      <c r="E106" s="5"/>
      <c r="F106" s="8"/>
      <c r="G106" s="8"/>
      <c r="H106" s="8"/>
      <c r="I106" s="8"/>
      <c r="J106" s="5"/>
      <c r="U106" s="5"/>
      <c r="V106" s="13"/>
      <c r="W106" s="14"/>
      <c r="X106" s="7"/>
      <c r="Y106" s="7"/>
      <c r="Z106" s="7"/>
      <c r="AA106" s="7"/>
      <c r="AB106" s="7"/>
      <c r="AC106" s="5"/>
      <c r="AD106" s="5"/>
      <c r="AE106" s="8"/>
      <c r="AF106" s="8"/>
      <c r="AG106" s="8"/>
      <c r="AH106" s="5"/>
      <c r="AI106" s="7"/>
      <c r="AJ106" s="7"/>
      <c r="AK106" s="5"/>
      <c r="AL106" s="5"/>
      <c r="AM106" s="5"/>
      <c r="AN106" s="14"/>
      <c r="AO106" s="14"/>
      <c r="AP106" s="14"/>
      <c r="AQ106" s="14"/>
      <c r="AR106" s="14"/>
      <c r="AS106" s="14"/>
      <c r="AT106" s="5"/>
      <c r="AU106" s="15"/>
      <c r="AV106" s="15"/>
      <c r="AW106" s="15"/>
      <c r="AX106" s="8"/>
      <c r="AY106" s="5"/>
    </row>
    <row r="107" customFormat="false" ht="13.8" hidden="false" customHeight="false" outlineLevel="0" collapsed="false">
      <c r="A107" s="5"/>
      <c r="B107" s="6"/>
      <c r="C107" s="7"/>
      <c r="D107" s="7"/>
      <c r="E107" s="5"/>
      <c r="F107" s="8"/>
      <c r="G107" s="8"/>
      <c r="H107" s="8"/>
      <c r="I107" s="8"/>
      <c r="J107" s="5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5"/>
      <c r="V107" s="13"/>
      <c r="W107" s="14"/>
      <c r="X107" s="7"/>
      <c r="Y107" s="7"/>
      <c r="Z107" s="7"/>
      <c r="AA107" s="7"/>
      <c r="AB107" s="7"/>
      <c r="AC107" s="5"/>
      <c r="AD107" s="5"/>
      <c r="AE107" s="8"/>
      <c r="AF107" s="8"/>
      <c r="AG107" s="8"/>
      <c r="AH107" s="5"/>
      <c r="AI107" s="7"/>
      <c r="AJ107" s="7"/>
      <c r="AK107" s="5"/>
      <c r="AL107" s="5"/>
      <c r="AM107" s="5"/>
      <c r="AN107" s="14"/>
      <c r="AO107" s="14"/>
      <c r="AP107" s="14"/>
      <c r="AQ107" s="14"/>
      <c r="AR107" s="14"/>
      <c r="AS107" s="14"/>
      <c r="AT107" s="5"/>
      <c r="AU107" s="15"/>
      <c r="AV107" s="15"/>
      <c r="AW107" s="15"/>
      <c r="AX107" s="8"/>
      <c r="AY107" s="5"/>
    </row>
    <row r="108" customFormat="false" ht="13.8" hidden="false" customHeight="false" outlineLevel="0" collapsed="false">
      <c r="A108" s="5"/>
      <c r="B108" s="6"/>
      <c r="C108" s="7"/>
      <c r="D108" s="7"/>
      <c r="E108" s="5"/>
      <c r="F108" s="8"/>
      <c r="G108" s="8"/>
      <c r="H108" s="8"/>
      <c r="I108" s="8"/>
      <c r="J108" s="5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5"/>
      <c r="V108" s="13"/>
      <c r="W108" s="14"/>
      <c r="X108" s="7"/>
      <c r="Y108" s="7"/>
      <c r="Z108" s="7"/>
      <c r="AA108" s="7"/>
      <c r="AB108" s="7"/>
      <c r="AC108" s="5"/>
      <c r="AD108" s="5"/>
      <c r="AE108" s="8"/>
      <c r="AF108" s="8"/>
      <c r="AG108" s="8"/>
      <c r="AH108" s="5"/>
      <c r="AI108" s="7"/>
      <c r="AJ108" s="7"/>
      <c r="AK108" s="5"/>
      <c r="AL108" s="5"/>
      <c r="AM108" s="5"/>
      <c r="AN108" s="14"/>
      <c r="AO108" s="14"/>
      <c r="AP108" s="14"/>
      <c r="AQ108" s="14"/>
      <c r="AR108" s="14"/>
      <c r="AS108" s="14"/>
      <c r="AT108" s="5"/>
      <c r="AU108" s="15"/>
      <c r="AV108" s="15"/>
      <c r="AW108" s="15"/>
      <c r="AX108" s="8"/>
      <c r="AY108" s="5"/>
    </row>
    <row r="109" customFormat="false" ht="13.8" hidden="false" customHeight="false" outlineLevel="0" collapsed="false">
      <c r="A109" s="5"/>
      <c r="B109" s="6"/>
      <c r="C109" s="7"/>
      <c r="D109" s="7"/>
      <c r="E109" s="5"/>
      <c r="F109" s="8"/>
      <c r="G109" s="8"/>
      <c r="H109" s="8"/>
      <c r="I109" s="8"/>
      <c r="J109" s="5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5"/>
      <c r="V109" s="13"/>
      <c r="W109" s="14"/>
      <c r="X109" s="7"/>
      <c r="Y109" s="7"/>
      <c r="Z109" s="7"/>
      <c r="AA109" s="7"/>
      <c r="AB109" s="7"/>
      <c r="AC109" s="5"/>
      <c r="AD109" s="5"/>
      <c r="AE109" s="8"/>
      <c r="AF109" s="8"/>
      <c r="AG109" s="8"/>
      <c r="AH109" s="5"/>
      <c r="AI109" s="7"/>
      <c r="AJ109" s="7"/>
      <c r="AK109" s="5"/>
      <c r="AL109" s="5"/>
      <c r="AM109" s="5"/>
      <c r="AN109" s="14"/>
      <c r="AO109" s="14"/>
      <c r="AP109" s="14"/>
      <c r="AQ109" s="14"/>
      <c r="AR109" s="14"/>
      <c r="AS109" s="14"/>
      <c r="AT109" s="5"/>
      <c r="AU109" s="15"/>
      <c r="AV109" s="15"/>
      <c r="AW109" s="15"/>
      <c r="AX109" s="8"/>
      <c r="AY109" s="5"/>
    </row>
    <row r="110" customFormat="false" ht="13.8" hidden="false" customHeight="false" outlineLevel="0" collapsed="false">
      <c r="A110" s="5"/>
      <c r="B110" s="6"/>
      <c r="C110" s="7"/>
      <c r="D110" s="7"/>
      <c r="E110" s="5"/>
      <c r="F110" s="8"/>
      <c r="G110" s="8"/>
      <c r="H110" s="8"/>
      <c r="I110" s="8"/>
      <c r="J110" s="5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5"/>
      <c r="V110" s="13"/>
      <c r="W110" s="14"/>
      <c r="X110" s="7"/>
      <c r="Y110" s="7"/>
      <c r="Z110" s="7"/>
      <c r="AA110" s="7"/>
      <c r="AB110" s="7"/>
      <c r="AC110" s="5"/>
      <c r="AD110" s="5"/>
      <c r="AE110" s="8"/>
      <c r="AF110" s="8"/>
      <c r="AG110" s="8"/>
      <c r="AH110" s="5"/>
      <c r="AI110" s="7"/>
      <c r="AJ110" s="7"/>
      <c r="AK110" s="5"/>
      <c r="AL110" s="5"/>
      <c r="AM110" s="5"/>
      <c r="AN110" s="14"/>
      <c r="AO110" s="14"/>
      <c r="AP110" s="14"/>
      <c r="AQ110" s="14"/>
      <c r="AR110" s="14"/>
      <c r="AS110" s="14"/>
      <c r="AT110" s="5"/>
      <c r="AU110" s="15"/>
      <c r="AV110" s="15"/>
      <c r="AW110" s="15"/>
      <c r="AX110" s="8"/>
      <c r="AY110" s="5"/>
    </row>
    <row r="111" customFormat="false" ht="13.8" hidden="false" customHeight="false" outlineLevel="0" collapsed="false">
      <c r="A111" s="5"/>
      <c r="B111" s="6"/>
      <c r="C111" s="7"/>
      <c r="D111" s="7"/>
      <c r="E111" s="5"/>
      <c r="F111" s="8"/>
      <c r="G111" s="8"/>
      <c r="H111" s="8"/>
      <c r="I111" s="8"/>
      <c r="J111" s="5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5"/>
      <c r="V111" s="13"/>
      <c r="W111" s="14"/>
      <c r="X111" s="7"/>
      <c r="Y111" s="7"/>
      <c r="Z111" s="7"/>
      <c r="AA111" s="7"/>
      <c r="AB111" s="7"/>
      <c r="AC111" s="5"/>
      <c r="AD111" s="5"/>
      <c r="AE111" s="8"/>
      <c r="AF111" s="8"/>
      <c r="AG111" s="8"/>
      <c r="AH111" s="5"/>
      <c r="AI111" s="7"/>
      <c r="AJ111" s="7"/>
      <c r="AK111" s="5"/>
      <c r="AL111" s="5"/>
      <c r="AM111" s="5"/>
      <c r="AN111" s="14"/>
      <c r="AO111" s="14"/>
      <c r="AP111" s="14"/>
      <c r="AQ111" s="14"/>
      <c r="AR111" s="14"/>
      <c r="AS111" s="14"/>
      <c r="AT111" s="5"/>
      <c r="AU111" s="15"/>
      <c r="AV111" s="15"/>
      <c r="AW111" s="15"/>
      <c r="AX111" s="8"/>
      <c r="AY111" s="5"/>
    </row>
    <row r="112" customFormat="false" ht="13.8" hidden="false" customHeight="false" outlineLevel="0" collapsed="false">
      <c r="A112" s="5"/>
      <c r="B112" s="6"/>
      <c r="C112" s="7"/>
      <c r="D112" s="7"/>
      <c r="E112" s="5"/>
      <c r="F112" s="8"/>
      <c r="G112" s="8"/>
      <c r="H112" s="8"/>
      <c r="I112" s="8"/>
      <c r="J112" s="5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5"/>
      <c r="V112" s="13"/>
      <c r="W112" s="14"/>
      <c r="X112" s="7"/>
      <c r="Y112" s="7"/>
      <c r="Z112" s="7"/>
      <c r="AA112" s="7"/>
      <c r="AB112" s="7"/>
      <c r="AC112" s="5"/>
      <c r="AD112" s="5"/>
      <c r="AE112" s="8"/>
      <c r="AF112" s="8"/>
      <c r="AG112" s="8"/>
      <c r="AH112" s="5"/>
      <c r="AI112" s="7"/>
      <c r="AJ112" s="7"/>
      <c r="AK112" s="5"/>
      <c r="AL112" s="5"/>
      <c r="AM112" s="5"/>
      <c r="AN112" s="14"/>
      <c r="AO112" s="14"/>
      <c r="AP112" s="14"/>
      <c r="AQ112" s="14"/>
      <c r="AR112" s="14"/>
      <c r="AS112" s="14"/>
      <c r="AT112" s="5"/>
      <c r="AU112" s="15"/>
      <c r="AV112" s="15"/>
      <c r="AW112" s="15"/>
      <c r="AX112" s="8"/>
      <c r="AY112" s="5"/>
    </row>
    <row r="113" customFormat="false" ht="13.8" hidden="false" customHeight="false" outlineLevel="0" collapsed="false">
      <c r="A113" s="5"/>
      <c r="B113" s="6"/>
      <c r="C113" s="7"/>
      <c r="D113" s="7"/>
      <c r="E113" s="5"/>
      <c r="F113" s="8"/>
      <c r="G113" s="8"/>
      <c r="H113" s="8"/>
      <c r="I113" s="8"/>
      <c r="J113" s="5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5"/>
      <c r="V113" s="13"/>
      <c r="W113" s="14"/>
      <c r="X113" s="7"/>
      <c r="Y113" s="7"/>
      <c r="Z113" s="7"/>
      <c r="AA113" s="7"/>
      <c r="AB113" s="7"/>
      <c r="AC113" s="5"/>
      <c r="AD113" s="5"/>
      <c r="AE113" s="8"/>
      <c r="AF113" s="8"/>
      <c r="AG113" s="8"/>
      <c r="AH113" s="5"/>
      <c r="AI113" s="7"/>
      <c r="AJ113" s="7"/>
      <c r="AK113" s="5"/>
      <c r="AL113" s="5"/>
      <c r="AM113" s="5"/>
      <c r="AN113" s="14"/>
      <c r="AO113" s="14"/>
      <c r="AP113" s="14"/>
      <c r="AQ113" s="14"/>
      <c r="AR113" s="14"/>
      <c r="AS113" s="14"/>
      <c r="AT113" s="5"/>
      <c r="AU113" s="15"/>
      <c r="AV113" s="15"/>
      <c r="AW113" s="15"/>
      <c r="AX113" s="8"/>
      <c r="AY113" s="5"/>
    </row>
    <row r="114" customFormat="false" ht="13.8" hidden="false" customHeight="false" outlineLevel="0" collapsed="false">
      <c r="A114" s="5"/>
      <c r="B114" s="6"/>
      <c r="C114" s="7"/>
      <c r="D114" s="7"/>
      <c r="E114" s="5"/>
      <c r="F114" s="8"/>
      <c r="G114" s="8"/>
      <c r="H114" s="8"/>
      <c r="I114" s="8"/>
      <c r="J114" s="5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5"/>
      <c r="V114" s="19"/>
      <c r="W114" s="14"/>
      <c r="X114" s="7"/>
      <c r="Y114" s="7"/>
      <c r="Z114" s="7"/>
      <c r="AA114" s="7"/>
      <c r="AB114" s="7"/>
      <c r="AC114" s="5"/>
      <c r="AD114" s="5"/>
      <c r="AE114" s="8"/>
      <c r="AF114" s="8"/>
      <c r="AG114" s="8"/>
      <c r="AH114" s="5"/>
      <c r="AI114" s="7"/>
      <c r="AJ114" s="7"/>
      <c r="AK114" s="5"/>
      <c r="AL114" s="5"/>
      <c r="AM114" s="5"/>
      <c r="AN114" s="14"/>
      <c r="AO114" s="14"/>
      <c r="AP114" s="14"/>
      <c r="AQ114" s="14"/>
      <c r="AR114" s="14"/>
      <c r="AS114" s="14"/>
      <c r="AT114" s="5"/>
      <c r="AU114" s="15"/>
      <c r="AV114" s="15"/>
      <c r="AW114" s="15"/>
      <c r="AX114" s="8"/>
      <c r="AY114" s="5"/>
    </row>
    <row r="115" customFormat="false" ht="13.8" hidden="false" customHeight="false" outlineLevel="0" collapsed="false">
      <c r="A115" s="5"/>
      <c r="B115" s="6"/>
      <c r="C115" s="7"/>
      <c r="D115" s="7"/>
      <c r="E115" s="5"/>
      <c r="F115" s="8"/>
      <c r="G115" s="8"/>
      <c r="H115" s="8"/>
      <c r="I115" s="8"/>
      <c r="J115" s="5"/>
      <c r="U115" s="5"/>
      <c r="V115" s="19"/>
      <c r="W115" s="14"/>
      <c r="X115" s="7"/>
      <c r="Y115" s="7"/>
      <c r="Z115" s="7"/>
      <c r="AA115" s="7"/>
      <c r="AB115" s="7"/>
      <c r="AC115" s="5"/>
      <c r="AD115" s="5"/>
      <c r="AE115" s="8"/>
      <c r="AF115" s="8"/>
      <c r="AG115" s="8"/>
      <c r="AH115" s="5"/>
      <c r="AI115" s="7"/>
      <c r="AJ115" s="7"/>
      <c r="AK115" s="5"/>
      <c r="AL115" s="5"/>
      <c r="AM115" s="5"/>
      <c r="AN115" s="14"/>
      <c r="AO115" s="14"/>
      <c r="AP115" s="14"/>
      <c r="AQ115" s="14"/>
      <c r="AR115" s="14"/>
      <c r="AS115" s="14"/>
      <c r="AT115" s="5"/>
      <c r="AU115" s="15"/>
      <c r="AV115" s="15"/>
      <c r="AW115" s="15"/>
      <c r="AX115" s="8"/>
      <c r="AY115" s="5"/>
    </row>
    <row r="116" customFormat="false" ht="13.8" hidden="false" customHeight="false" outlineLevel="0" collapsed="false">
      <c r="A116" s="5"/>
      <c r="B116" s="6"/>
      <c r="C116" s="7"/>
      <c r="D116" s="7"/>
      <c r="E116" s="5"/>
      <c r="F116" s="8"/>
      <c r="G116" s="8"/>
      <c r="H116" s="8"/>
      <c r="I116" s="8"/>
      <c r="J116" s="5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5"/>
      <c r="V116" s="19"/>
      <c r="W116" s="14"/>
      <c r="X116" s="7"/>
      <c r="Y116" s="7"/>
      <c r="Z116" s="7"/>
      <c r="AA116" s="7"/>
      <c r="AB116" s="7"/>
      <c r="AC116" s="5"/>
      <c r="AD116" s="5"/>
      <c r="AE116" s="8"/>
      <c r="AF116" s="8"/>
      <c r="AG116" s="8"/>
      <c r="AH116" s="5"/>
      <c r="AI116" s="7"/>
      <c r="AJ116" s="7"/>
      <c r="AK116" s="5"/>
      <c r="AL116" s="5"/>
      <c r="AM116" s="5"/>
      <c r="AN116" s="14"/>
      <c r="AO116" s="14"/>
      <c r="AP116" s="14"/>
      <c r="AQ116" s="14"/>
      <c r="AR116" s="14"/>
      <c r="AS116" s="14"/>
      <c r="AT116" s="5"/>
      <c r="AU116" s="15"/>
      <c r="AV116" s="15"/>
      <c r="AW116" s="15"/>
      <c r="AX116" s="8"/>
      <c r="AY116" s="5"/>
    </row>
    <row r="117" customFormat="false" ht="13.8" hidden="false" customHeight="false" outlineLevel="0" collapsed="false">
      <c r="A117" s="5"/>
      <c r="B117" s="6"/>
      <c r="C117" s="7"/>
      <c r="D117" s="7"/>
      <c r="E117" s="5"/>
      <c r="F117" s="8"/>
      <c r="G117" s="8"/>
      <c r="H117" s="8"/>
      <c r="I117" s="8"/>
      <c r="J117" s="5"/>
      <c r="U117" s="5"/>
      <c r="V117" s="11"/>
      <c r="W117" s="14"/>
      <c r="X117" s="7"/>
      <c r="Y117" s="7"/>
      <c r="Z117" s="7"/>
      <c r="AA117" s="7"/>
      <c r="AB117" s="7"/>
      <c r="AC117" s="5"/>
      <c r="AD117" s="5"/>
      <c r="AE117" s="8"/>
      <c r="AF117" s="8"/>
      <c r="AG117" s="8"/>
      <c r="AH117" s="5"/>
      <c r="AI117" s="7"/>
      <c r="AJ117" s="7"/>
      <c r="AK117" s="5"/>
      <c r="AL117" s="5"/>
      <c r="AM117" s="5"/>
      <c r="AN117" s="14"/>
      <c r="AO117" s="14"/>
      <c r="AP117" s="14"/>
      <c r="AQ117" s="14"/>
      <c r="AR117" s="14"/>
      <c r="AS117" s="14"/>
      <c r="AT117" s="5"/>
      <c r="AU117" s="15"/>
      <c r="AV117" s="15"/>
      <c r="AW117" s="15"/>
      <c r="AX117" s="8"/>
      <c r="AY117" s="5"/>
    </row>
    <row r="118" customFormat="false" ht="13.8" hidden="false" customHeight="false" outlineLevel="0" collapsed="false">
      <c r="A118" s="5"/>
      <c r="B118" s="6"/>
      <c r="C118" s="7"/>
      <c r="D118" s="7"/>
      <c r="E118" s="5"/>
      <c r="F118" s="8"/>
      <c r="G118" s="8"/>
      <c r="H118" s="8"/>
      <c r="I118" s="8"/>
      <c r="J118" s="5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5"/>
      <c r="V118" s="19"/>
      <c r="W118" s="14"/>
      <c r="X118" s="7"/>
      <c r="Y118" s="7"/>
      <c r="Z118" s="7"/>
      <c r="AA118" s="7"/>
      <c r="AB118" s="7"/>
      <c r="AC118" s="5"/>
      <c r="AD118" s="5"/>
      <c r="AE118" s="8"/>
      <c r="AF118" s="8"/>
      <c r="AG118" s="8"/>
      <c r="AH118" s="5"/>
      <c r="AI118" s="7"/>
      <c r="AJ118" s="7"/>
      <c r="AK118" s="5"/>
      <c r="AL118" s="5"/>
      <c r="AM118" s="5"/>
      <c r="AN118" s="14"/>
      <c r="AO118" s="14"/>
      <c r="AP118" s="14"/>
      <c r="AQ118" s="14"/>
      <c r="AR118" s="14"/>
      <c r="AS118" s="14"/>
      <c r="AT118" s="5"/>
      <c r="AU118" s="15"/>
      <c r="AV118" s="15"/>
      <c r="AW118" s="15"/>
      <c r="AX118" s="8"/>
      <c r="AY118" s="5"/>
    </row>
    <row r="119" customFormat="false" ht="13.8" hidden="false" customHeight="false" outlineLevel="0" collapsed="false">
      <c r="A119" s="5"/>
      <c r="B119" s="6"/>
      <c r="C119" s="7"/>
      <c r="D119" s="7"/>
      <c r="E119" s="5"/>
      <c r="F119" s="8"/>
      <c r="G119" s="8"/>
      <c r="H119" s="8"/>
      <c r="I119" s="8"/>
      <c r="J119" s="5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5"/>
      <c r="V119" s="11"/>
      <c r="W119" s="14"/>
      <c r="X119" s="7"/>
      <c r="Y119" s="7"/>
      <c r="Z119" s="7"/>
      <c r="AA119" s="7"/>
      <c r="AB119" s="7"/>
      <c r="AC119" s="5"/>
      <c r="AD119" s="5"/>
      <c r="AE119" s="8"/>
      <c r="AF119" s="8"/>
      <c r="AG119" s="8"/>
      <c r="AH119" s="5"/>
      <c r="AI119" s="7"/>
      <c r="AJ119" s="7"/>
      <c r="AK119" s="5"/>
      <c r="AL119" s="5"/>
      <c r="AM119" s="5"/>
      <c r="AN119" s="14"/>
      <c r="AO119" s="14"/>
      <c r="AP119" s="14"/>
      <c r="AQ119" s="14"/>
      <c r="AR119" s="14"/>
      <c r="AS119" s="14"/>
      <c r="AT119" s="5"/>
      <c r="AU119" s="15"/>
      <c r="AV119" s="15"/>
      <c r="AW119" s="15"/>
      <c r="AX119" s="8"/>
      <c r="AY119" s="5"/>
    </row>
    <row r="120" customFormat="false" ht="13.8" hidden="false" customHeight="false" outlineLevel="0" collapsed="false">
      <c r="A120" s="5"/>
      <c r="B120" s="6"/>
      <c r="C120" s="7"/>
      <c r="D120" s="7"/>
      <c r="E120" s="5"/>
      <c r="F120" s="8"/>
      <c r="G120" s="8"/>
      <c r="H120" s="8"/>
      <c r="I120" s="8"/>
      <c r="J120" s="5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5"/>
      <c r="V120" s="11"/>
      <c r="W120" s="14"/>
      <c r="X120" s="7"/>
      <c r="Y120" s="7"/>
      <c r="Z120" s="7"/>
      <c r="AA120" s="7"/>
      <c r="AB120" s="7"/>
      <c r="AC120" s="5"/>
      <c r="AD120" s="5"/>
      <c r="AE120" s="8"/>
      <c r="AF120" s="8"/>
      <c r="AG120" s="8"/>
      <c r="AH120" s="5"/>
      <c r="AI120" s="7"/>
      <c r="AJ120" s="7"/>
      <c r="AK120" s="5"/>
      <c r="AL120" s="5"/>
      <c r="AM120" s="5"/>
      <c r="AN120" s="14"/>
      <c r="AO120" s="14"/>
      <c r="AP120" s="14"/>
      <c r="AQ120" s="14"/>
      <c r="AR120" s="14"/>
      <c r="AS120" s="14"/>
      <c r="AT120" s="5"/>
      <c r="AU120" s="15"/>
      <c r="AV120" s="15"/>
      <c r="AW120" s="15"/>
      <c r="AX120" s="8"/>
      <c r="AY120" s="5"/>
    </row>
    <row r="121" customFormat="false" ht="13.8" hidden="false" customHeight="false" outlineLevel="0" collapsed="false">
      <c r="A121" s="5"/>
      <c r="B121" s="6"/>
      <c r="C121" s="7"/>
      <c r="D121" s="7"/>
      <c r="E121" s="5"/>
      <c r="F121" s="8"/>
      <c r="G121" s="8"/>
      <c r="H121" s="8"/>
      <c r="I121" s="8"/>
      <c r="J121" s="5"/>
      <c r="U121" s="5"/>
      <c r="V121" s="11"/>
      <c r="W121" s="14"/>
      <c r="X121" s="7"/>
      <c r="Y121" s="7"/>
      <c r="Z121" s="7"/>
      <c r="AA121" s="7"/>
      <c r="AB121" s="7"/>
      <c r="AC121" s="5"/>
      <c r="AD121" s="5"/>
      <c r="AE121" s="8"/>
      <c r="AF121" s="8"/>
      <c r="AG121" s="8"/>
      <c r="AH121" s="5"/>
      <c r="AI121" s="7"/>
      <c r="AJ121" s="7"/>
      <c r="AK121" s="5"/>
      <c r="AL121" s="5"/>
      <c r="AM121" s="5"/>
      <c r="AN121" s="14"/>
      <c r="AO121" s="14"/>
      <c r="AP121" s="14"/>
      <c r="AQ121" s="14"/>
      <c r="AR121" s="14"/>
      <c r="AS121" s="14"/>
      <c r="AT121" s="5"/>
      <c r="AU121" s="15"/>
      <c r="AV121" s="15"/>
      <c r="AW121" s="15"/>
      <c r="AX121" s="8"/>
      <c r="AY121" s="5"/>
    </row>
    <row r="122" customFormat="false" ht="13.8" hidden="false" customHeight="false" outlineLevel="0" collapsed="false">
      <c r="A122" s="5"/>
      <c r="B122" s="6"/>
      <c r="C122" s="7"/>
      <c r="D122" s="7"/>
      <c r="E122" s="5"/>
      <c r="F122" s="8"/>
      <c r="G122" s="8"/>
      <c r="H122" s="8"/>
      <c r="I122" s="8"/>
      <c r="J122" s="5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5"/>
      <c r="V122" s="11"/>
      <c r="W122" s="14"/>
      <c r="X122" s="7"/>
      <c r="Y122" s="7"/>
      <c r="Z122" s="7"/>
      <c r="AA122" s="7"/>
      <c r="AB122" s="7"/>
      <c r="AC122" s="5"/>
      <c r="AD122" s="5"/>
      <c r="AE122" s="8"/>
      <c r="AF122" s="8"/>
      <c r="AG122" s="8"/>
      <c r="AH122" s="5"/>
      <c r="AI122" s="7"/>
      <c r="AJ122" s="7"/>
      <c r="AK122" s="5"/>
      <c r="AL122" s="5"/>
      <c r="AM122" s="5"/>
      <c r="AN122" s="14"/>
      <c r="AO122" s="14"/>
      <c r="AP122" s="14"/>
      <c r="AQ122" s="14"/>
      <c r="AR122" s="14"/>
      <c r="AS122" s="14"/>
      <c r="AT122" s="5"/>
      <c r="AU122" s="15"/>
      <c r="AV122" s="15"/>
      <c r="AW122" s="15"/>
      <c r="AX122" s="8"/>
      <c r="AY122" s="5"/>
    </row>
    <row r="123" customFormat="false" ht="13.8" hidden="false" customHeight="false" outlineLevel="0" collapsed="false">
      <c r="A123" s="5"/>
      <c r="B123" s="6"/>
      <c r="C123" s="7"/>
      <c r="D123" s="7"/>
      <c r="E123" s="5"/>
      <c r="F123" s="8"/>
      <c r="G123" s="8"/>
      <c r="H123" s="8"/>
      <c r="I123" s="8"/>
      <c r="J123" s="5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5"/>
      <c r="V123" s="11"/>
      <c r="W123" s="14"/>
      <c r="X123" s="7"/>
      <c r="Y123" s="7"/>
      <c r="Z123" s="7"/>
      <c r="AA123" s="7"/>
      <c r="AB123" s="7"/>
      <c r="AC123" s="5"/>
      <c r="AD123" s="5"/>
      <c r="AE123" s="8"/>
      <c r="AF123" s="8"/>
      <c r="AG123" s="8"/>
      <c r="AH123" s="5"/>
      <c r="AI123" s="7"/>
      <c r="AJ123" s="7"/>
      <c r="AK123" s="5"/>
      <c r="AL123" s="5"/>
      <c r="AM123" s="5"/>
      <c r="AN123" s="14"/>
      <c r="AO123" s="14"/>
      <c r="AP123" s="14"/>
      <c r="AQ123" s="14"/>
      <c r="AR123" s="14"/>
      <c r="AS123" s="14"/>
      <c r="AT123" s="5"/>
      <c r="AU123" s="15"/>
      <c r="AV123" s="15"/>
      <c r="AW123" s="15"/>
      <c r="AX123" s="8"/>
      <c r="AY123" s="5"/>
    </row>
    <row r="124" customFormat="false" ht="13.8" hidden="false" customHeight="false" outlineLevel="0" collapsed="false">
      <c r="A124" s="5"/>
      <c r="B124" s="6"/>
      <c r="C124" s="7"/>
      <c r="D124" s="7"/>
      <c r="E124" s="5"/>
      <c r="F124" s="8"/>
      <c r="G124" s="8"/>
      <c r="H124" s="8"/>
      <c r="I124" s="8"/>
      <c r="J124" s="5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5"/>
      <c r="V124" s="11"/>
      <c r="W124" s="14"/>
      <c r="X124" s="7"/>
      <c r="Y124" s="7"/>
      <c r="Z124" s="7"/>
      <c r="AA124" s="7"/>
      <c r="AB124" s="7"/>
      <c r="AC124" s="5"/>
      <c r="AD124" s="5"/>
      <c r="AE124" s="8"/>
      <c r="AF124" s="8"/>
      <c r="AG124" s="8"/>
      <c r="AH124" s="5"/>
      <c r="AI124" s="7"/>
      <c r="AJ124" s="7"/>
      <c r="AK124" s="5"/>
      <c r="AL124" s="5"/>
      <c r="AM124" s="5"/>
      <c r="AN124" s="14"/>
      <c r="AO124" s="14"/>
      <c r="AP124" s="14"/>
      <c r="AQ124" s="14"/>
      <c r="AR124" s="14"/>
      <c r="AS124" s="14"/>
      <c r="AT124" s="5"/>
      <c r="AU124" s="15"/>
      <c r="AV124" s="15"/>
      <c r="AW124" s="15"/>
      <c r="AX124" s="8"/>
      <c r="AY124" s="5"/>
    </row>
    <row r="125" customFormat="false" ht="13.8" hidden="false" customHeight="false" outlineLevel="0" collapsed="false">
      <c r="A125" s="5"/>
      <c r="B125" s="6"/>
      <c r="C125" s="7"/>
      <c r="D125" s="7"/>
      <c r="E125" s="5"/>
      <c r="F125" s="8"/>
      <c r="G125" s="8"/>
      <c r="H125" s="8"/>
      <c r="I125" s="8"/>
      <c r="J125" s="5"/>
      <c r="K125" s="19"/>
      <c r="L125" s="19"/>
      <c r="M125" s="19"/>
      <c r="N125" s="19"/>
      <c r="P125" s="19"/>
      <c r="Q125" s="19"/>
      <c r="R125" s="19"/>
      <c r="S125" s="19"/>
      <c r="T125" s="19"/>
      <c r="U125" s="5"/>
      <c r="V125" s="11"/>
      <c r="W125" s="14"/>
      <c r="X125" s="7"/>
      <c r="Y125" s="7"/>
      <c r="Z125" s="7"/>
      <c r="AA125" s="7"/>
      <c r="AB125" s="7"/>
      <c r="AC125" s="5"/>
      <c r="AD125" s="5"/>
      <c r="AE125" s="8"/>
      <c r="AF125" s="8"/>
      <c r="AG125" s="8"/>
      <c r="AH125" s="5"/>
      <c r="AI125" s="7"/>
      <c r="AJ125" s="7"/>
      <c r="AK125" s="5"/>
      <c r="AL125" s="5"/>
      <c r="AM125" s="5"/>
      <c r="AN125" s="14"/>
      <c r="AO125" s="14"/>
      <c r="AP125" s="14"/>
      <c r="AQ125" s="14"/>
      <c r="AR125" s="14"/>
      <c r="AS125" s="14"/>
      <c r="AT125" s="5"/>
      <c r="AU125" s="15"/>
      <c r="AV125" s="15"/>
      <c r="AW125" s="15"/>
      <c r="AX125" s="8"/>
      <c r="AY125" s="5"/>
    </row>
    <row r="126" customFormat="false" ht="13.8" hidden="false" customHeight="false" outlineLevel="0" collapsed="false">
      <c r="A126" s="5"/>
      <c r="B126" s="6"/>
      <c r="C126" s="7"/>
      <c r="D126" s="7"/>
      <c r="E126" s="5"/>
      <c r="F126" s="8"/>
      <c r="G126" s="8"/>
      <c r="H126" s="8"/>
      <c r="I126" s="8"/>
      <c r="J126" s="5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5"/>
      <c r="V126" s="11"/>
      <c r="W126" s="14"/>
      <c r="X126" s="7"/>
      <c r="Y126" s="7"/>
      <c r="Z126" s="7"/>
      <c r="AA126" s="7"/>
      <c r="AB126" s="7"/>
      <c r="AC126" s="5"/>
      <c r="AD126" s="5"/>
      <c r="AE126" s="8"/>
      <c r="AF126" s="8"/>
      <c r="AG126" s="8"/>
      <c r="AH126" s="5"/>
      <c r="AI126" s="7"/>
      <c r="AJ126" s="7"/>
      <c r="AK126" s="5"/>
      <c r="AL126" s="5"/>
      <c r="AM126" s="5"/>
      <c r="AN126" s="14"/>
      <c r="AO126" s="14"/>
      <c r="AP126" s="14"/>
      <c r="AQ126" s="14"/>
      <c r="AR126" s="14"/>
      <c r="AS126" s="14"/>
      <c r="AT126" s="5"/>
      <c r="AU126" s="15"/>
      <c r="AV126" s="15"/>
      <c r="AW126" s="15"/>
      <c r="AX126" s="8"/>
      <c r="AY126" s="5"/>
    </row>
    <row r="127" customFormat="false" ht="13.8" hidden="false" customHeight="false" outlineLevel="0" collapsed="false">
      <c r="A127" s="5"/>
      <c r="B127" s="6"/>
      <c r="C127" s="7"/>
      <c r="D127" s="7"/>
      <c r="E127" s="5"/>
      <c r="F127" s="8"/>
      <c r="G127" s="8"/>
      <c r="H127" s="8"/>
      <c r="I127" s="8"/>
      <c r="J127" s="5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5"/>
      <c r="V127" s="11"/>
      <c r="W127" s="14"/>
      <c r="X127" s="7"/>
      <c r="Y127" s="7"/>
      <c r="Z127" s="7"/>
      <c r="AA127" s="7"/>
      <c r="AB127" s="7"/>
      <c r="AC127" s="5"/>
      <c r="AD127" s="5"/>
      <c r="AE127" s="8"/>
      <c r="AF127" s="8"/>
      <c r="AG127" s="8"/>
      <c r="AH127" s="5"/>
      <c r="AI127" s="7"/>
      <c r="AJ127" s="7"/>
      <c r="AK127" s="5"/>
      <c r="AL127" s="5"/>
      <c r="AM127" s="5"/>
      <c r="AN127" s="14"/>
      <c r="AO127" s="14"/>
      <c r="AP127" s="14"/>
      <c r="AQ127" s="14"/>
      <c r="AR127" s="14"/>
      <c r="AS127" s="14"/>
      <c r="AT127" s="5"/>
      <c r="AU127" s="15"/>
      <c r="AV127" s="15"/>
      <c r="AW127" s="15"/>
      <c r="AX127" s="8"/>
      <c r="AY127" s="5"/>
    </row>
    <row r="128" customFormat="false" ht="13.8" hidden="false" customHeight="false" outlineLevel="0" collapsed="false">
      <c r="A128" s="5"/>
      <c r="B128" s="6"/>
      <c r="C128" s="7"/>
      <c r="D128" s="7"/>
      <c r="E128" s="5"/>
      <c r="F128" s="8"/>
      <c r="G128" s="8"/>
      <c r="H128" s="8"/>
      <c r="I128" s="8"/>
      <c r="J128" s="5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5"/>
      <c r="V128" s="11"/>
      <c r="W128" s="14"/>
      <c r="X128" s="7"/>
      <c r="Y128" s="7"/>
      <c r="Z128" s="7"/>
      <c r="AA128" s="7"/>
      <c r="AB128" s="7"/>
      <c r="AC128" s="5"/>
      <c r="AD128" s="5"/>
      <c r="AE128" s="8"/>
      <c r="AF128" s="8"/>
      <c r="AG128" s="8"/>
      <c r="AH128" s="5"/>
      <c r="AI128" s="7"/>
      <c r="AJ128" s="7"/>
      <c r="AK128" s="5"/>
      <c r="AL128" s="5"/>
      <c r="AM128" s="5"/>
      <c r="AN128" s="14"/>
      <c r="AO128" s="14"/>
      <c r="AP128" s="14"/>
      <c r="AQ128" s="14"/>
      <c r="AR128" s="14"/>
      <c r="AS128" s="14"/>
      <c r="AT128" s="5"/>
      <c r="AU128" s="15"/>
      <c r="AV128" s="15"/>
      <c r="AW128" s="15"/>
      <c r="AX128" s="8"/>
      <c r="AY128" s="5"/>
    </row>
    <row r="129" customFormat="false" ht="13.8" hidden="false" customHeight="false" outlineLevel="0" collapsed="false">
      <c r="A129" s="5"/>
      <c r="B129" s="6"/>
      <c r="C129" s="7"/>
      <c r="D129" s="7"/>
      <c r="E129" s="5"/>
      <c r="F129" s="8"/>
      <c r="G129" s="8"/>
      <c r="H129" s="8"/>
      <c r="I129" s="8"/>
      <c r="J129" s="5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5"/>
      <c r="V129" s="11"/>
      <c r="W129" s="14"/>
      <c r="X129" s="7"/>
      <c r="Y129" s="7"/>
      <c r="Z129" s="7"/>
      <c r="AA129" s="7"/>
      <c r="AB129" s="7"/>
      <c r="AC129" s="5"/>
      <c r="AD129" s="5"/>
      <c r="AE129" s="8"/>
      <c r="AF129" s="8"/>
      <c r="AG129" s="8"/>
      <c r="AH129" s="5"/>
      <c r="AI129" s="7"/>
      <c r="AJ129" s="7"/>
      <c r="AK129" s="5"/>
      <c r="AL129" s="5"/>
      <c r="AM129" s="5"/>
      <c r="AN129" s="14"/>
      <c r="AO129" s="14"/>
      <c r="AP129" s="14"/>
      <c r="AQ129" s="14"/>
      <c r="AR129" s="14"/>
      <c r="AS129" s="14"/>
      <c r="AT129" s="5"/>
      <c r="AU129" s="15"/>
      <c r="AV129" s="15"/>
      <c r="AW129" s="15"/>
      <c r="AX129" s="8"/>
      <c r="AY129" s="5"/>
    </row>
    <row r="130" customFormat="false" ht="13.8" hidden="false" customHeight="false" outlineLevel="0" collapsed="false">
      <c r="A130" s="5"/>
      <c r="B130" s="6"/>
      <c r="C130" s="7"/>
      <c r="D130" s="7"/>
      <c r="E130" s="5"/>
      <c r="F130" s="8"/>
      <c r="G130" s="8"/>
      <c r="H130" s="8"/>
      <c r="I130" s="8"/>
      <c r="J130" s="5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5"/>
      <c r="V130" s="11"/>
      <c r="W130" s="14"/>
      <c r="X130" s="7"/>
      <c r="Y130" s="7"/>
      <c r="Z130" s="7"/>
      <c r="AA130" s="7"/>
      <c r="AB130" s="7"/>
      <c r="AC130" s="5"/>
      <c r="AD130" s="5"/>
      <c r="AE130" s="8"/>
      <c r="AF130" s="8"/>
      <c r="AG130" s="8"/>
      <c r="AH130" s="5"/>
      <c r="AI130" s="7"/>
      <c r="AJ130" s="7"/>
      <c r="AK130" s="5"/>
      <c r="AL130" s="5"/>
      <c r="AM130" s="5"/>
      <c r="AN130" s="14"/>
      <c r="AO130" s="14"/>
      <c r="AP130" s="14"/>
      <c r="AQ130" s="14"/>
      <c r="AR130" s="14"/>
      <c r="AS130" s="14"/>
      <c r="AT130" s="5"/>
      <c r="AU130" s="15"/>
      <c r="AV130" s="15"/>
      <c r="AW130" s="15"/>
      <c r="AX130" s="8"/>
      <c r="AY130" s="5"/>
    </row>
    <row r="131" customFormat="false" ht="13.8" hidden="false" customHeight="false" outlineLevel="0" collapsed="false">
      <c r="A131" s="5"/>
      <c r="B131" s="6"/>
      <c r="C131" s="7"/>
      <c r="D131" s="7"/>
      <c r="E131" s="5"/>
      <c r="F131" s="8"/>
      <c r="G131" s="8"/>
      <c r="H131" s="8"/>
      <c r="I131" s="8"/>
      <c r="J131" s="5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5"/>
      <c r="V131" s="11"/>
      <c r="W131" s="14"/>
      <c r="X131" s="7"/>
      <c r="Y131" s="7"/>
      <c r="Z131" s="7"/>
      <c r="AA131" s="7"/>
      <c r="AB131" s="7"/>
      <c r="AC131" s="5"/>
      <c r="AD131" s="5"/>
      <c r="AE131" s="8"/>
      <c r="AF131" s="8"/>
      <c r="AG131" s="8"/>
      <c r="AH131" s="5"/>
      <c r="AI131" s="7"/>
      <c r="AJ131" s="7"/>
      <c r="AK131" s="5"/>
      <c r="AL131" s="5"/>
      <c r="AM131" s="5"/>
      <c r="AN131" s="14"/>
      <c r="AO131" s="14"/>
      <c r="AP131" s="14"/>
      <c r="AQ131" s="14"/>
      <c r="AR131" s="14"/>
      <c r="AS131" s="14"/>
      <c r="AT131" s="5"/>
      <c r="AU131" s="15"/>
      <c r="AV131" s="15"/>
      <c r="AW131" s="15"/>
      <c r="AX131" s="8"/>
      <c r="AY131" s="5"/>
    </row>
    <row r="132" customFormat="false" ht="13.8" hidden="false" customHeight="false" outlineLevel="0" collapsed="false">
      <c r="A132" s="5"/>
      <c r="B132" s="6"/>
      <c r="C132" s="7"/>
      <c r="D132" s="7"/>
      <c r="E132" s="5"/>
      <c r="F132" s="8"/>
      <c r="G132" s="8"/>
      <c r="H132" s="8"/>
      <c r="I132" s="8"/>
      <c r="J132" s="5"/>
      <c r="U132" s="5"/>
      <c r="V132" s="11"/>
      <c r="W132" s="14"/>
      <c r="X132" s="7"/>
      <c r="Y132" s="7"/>
      <c r="Z132" s="7"/>
      <c r="AA132" s="7"/>
      <c r="AB132" s="7"/>
      <c r="AC132" s="5"/>
      <c r="AD132" s="5"/>
      <c r="AE132" s="8"/>
      <c r="AF132" s="8"/>
      <c r="AG132" s="8"/>
      <c r="AH132" s="5"/>
      <c r="AI132" s="7"/>
      <c r="AJ132" s="7"/>
      <c r="AK132" s="5"/>
      <c r="AL132" s="5"/>
      <c r="AM132" s="5"/>
      <c r="AN132" s="14"/>
      <c r="AO132" s="14"/>
      <c r="AP132" s="14"/>
      <c r="AQ132" s="14"/>
      <c r="AR132" s="14"/>
      <c r="AS132" s="14"/>
      <c r="AT132" s="5"/>
      <c r="AU132" s="15"/>
      <c r="AV132" s="15"/>
      <c r="AW132" s="15"/>
      <c r="AX132" s="8"/>
      <c r="AY132" s="5"/>
    </row>
    <row r="133" customFormat="false" ht="13.8" hidden="false" customHeight="false" outlineLevel="0" collapsed="false">
      <c r="A133" s="5"/>
      <c r="B133" s="6"/>
      <c r="C133" s="7"/>
      <c r="D133" s="7"/>
      <c r="E133" s="5"/>
      <c r="F133" s="8"/>
      <c r="G133" s="8"/>
      <c r="H133" s="8"/>
      <c r="I133" s="8"/>
      <c r="J133" s="5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5"/>
      <c r="V133" s="11"/>
      <c r="W133" s="14"/>
      <c r="X133" s="7"/>
      <c r="Y133" s="7"/>
      <c r="Z133" s="7"/>
      <c r="AA133" s="7"/>
      <c r="AB133" s="7"/>
      <c r="AC133" s="5"/>
      <c r="AD133" s="5"/>
      <c r="AE133" s="8"/>
      <c r="AF133" s="8"/>
      <c r="AG133" s="8"/>
      <c r="AH133" s="5"/>
      <c r="AI133" s="7"/>
      <c r="AJ133" s="7"/>
      <c r="AK133" s="5"/>
      <c r="AL133" s="5"/>
      <c r="AM133" s="5"/>
      <c r="AN133" s="14"/>
      <c r="AO133" s="14"/>
      <c r="AP133" s="14"/>
      <c r="AQ133" s="14"/>
      <c r="AR133" s="14"/>
      <c r="AS133" s="14"/>
      <c r="AT133" s="5"/>
      <c r="AU133" s="15"/>
      <c r="AV133" s="15"/>
      <c r="AW133" s="15"/>
      <c r="AX133" s="8"/>
      <c r="AY133" s="5"/>
    </row>
    <row r="134" customFormat="false" ht="13.8" hidden="false" customHeight="false" outlineLevel="0" collapsed="false">
      <c r="A134" s="5"/>
      <c r="B134" s="6"/>
      <c r="C134" s="7"/>
      <c r="D134" s="7"/>
      <c r="E134" s="5"/>
      <c r="F134" s="8"/>
      <c r="G134" s="8"/>
      <c r="H134" s="8"/>
      <c r="I134" s="8"/>
      <c r="J134" s="5"/>
      <c r="U134" s="5"/>
      <c r="V134" s="11"/>
      <c r="W134" s="14"/>
      <c r="X134" s="7"/>
      <c r="Y134" s="7"/>
      <c r="Z134" s="7"/>
      <c r="AA134" s="7"/>
      <c r="AB134" s="7"/>
      <c r="AC134" s="5"/>
      <c r="AD134" s="5"/>
      <c r="AE134" s="8"/>
      <c r="AF134" s="8"/>
      <c r="AG134" s="8"/>
      <c r="AH134" s="5"/>
      <c r="AI134" s="7"/>
      <c r="AJ134" s="7"/>
      <c r="AK134" s="5"/>
      <c r="AL134" s="5"/>
      <c r="AM134" s="5"/>
      <c r="AN134" s="14"/>
      <c r="AO134" s="14"/>
      <c r="AP134" s="14"/>
      <c r="AQ134" s="14"/>
      <c r="AR134" s="14"/>
      <c r="AS134" s="14"/>
      <c r="AT134" s="5"/>
      <c r="AU134" s="15"/>
      <c r="AV134" s="15"/>
      <c r="AW134" s="15"/>
      <c r="AX134" s="8"/>
      <c r="AY134" s="5"/>
    </row>
    <row r="135" customFormat="false" ht="13.8" hidden="false" customHeight="false" outlineLevel="0" collapsed="false">
      <c r="A135" s="5"/>
      <c r="B135" s="6"/>
      <c r="C135" s="7"/>
      <c r="D135" s="7"/>
      <c r="E135" s="5"/>
      <c r="F135" s="8"/>
      <c r="G135" s="8"/>
      <c r="H135" s="8"/>
      <c r="I135" s="8"/>
      <c r="J135" s="5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5"/>
      <c r="V135" s="11"/>
      <c r="W135" s="14"/>
      <c r="X135" s="7"/>
      <c r="Y135" s="7"/>
      <c r="Z135" s="7"/>
      <c r="AA135" s="7"/>
      <c r="AB135" s="7"/>
      <c r="AC135" s="5"/>
      <c r="AD135" s="5"/>
      <c r="AE135" s="8"/>
      <c r="AF135" s="8"/>
      <c r="AG135" s="8"/>
      <c r="AH135" s="5"/>
      <c r="AI135" s="7"/>
      <c r="AJ135" s="7"/>
      <c r="AK135" s="5"/>
      <c r="AL135" s="5"/>
      <c r="AM135" s="5"/>
      <c r="AN135" s="14"/>
      <c r="AO135" s="14"/>
      <c r="AP135" s="14"/>
      <c r="AQ135" s="14"/>
      <c r="AR135" s="14"/>
      <c r="AS135" s="14"/>
      <c r="AT135" s="5"/>
      <c r="AU135" s="15"/>
      <c r="AV135" s="15"/>
      <c r="AW135" s="15"/>
      <c r="AX135" s="8"/>
      <c r="AY135" s="5"/>
    </row>
    <row r="136" customFormat="false" ht="13.8" hidden="false" customHeight="false" outlineLevel="0" collapsed="false">
      <c r="A136" s="5"/>
      <c r="B136" s="6"/>
      <c r="C136" s="7"/>
      <c r="D136" s="7"/>
      <c r="E136" s="5"/>
      <c r="F136" s="8"/>
      <c r="G136" s="8"/>
      <c r="H136" s="8"/>
      <c r="I136" s="8"/>
      <c r="J136" s="5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5"/>
      <c r="V136" s="11"/>
      <c r="W136" s="14"/>
      <c r="X136" s="7"/>
      <c r="Y136" s="7"/>
      <c r="Z136" s="7"/>
      <c r="AA136" s="7"/>
      <c r="AB136" s="7"/>
      <c r="AC136" s="5"/>
      <c r="AD136" s="5"/>
      <c r="AE136" s="8"/>
      <c r="AF136" s="8"/>
      <c r="AG136" s="8"/>
      <c r="AH136" s="5"/>
      <c r="AI136" s="7"/>
      <c r="AJ136" s="7"/>
      <c r="AK136" s="5"/>
      <c r="AL136" s="5"/>
      <c r="AM136" s="5"/>
      <c r="AN136" s="14"/>
      <c r="AO136" s="14"/>
      <c r="AP136" s="14"/>
      <c r="AQ136" s="14"/>
      <c r="AR136" s="14"/>
      <c r="AS136" s="14"/>
      <c r="AT136" s="5"/>
      <c r="AU136" s="15"/>
      <c r="AV136" s="15"/>
      <c r="AW136" s="15"/>
      <c r="AX136" s="8"/>
      <c r="AY136" s="5"/>
    </row>
    <row r="137" customFormat="false" ht="13.8" hidden="false" customHeight="false" outlineLevel="0" collapsed="false">
      <c r="A137" s="5"/>
      <c r="B137" s="6"/>
      <c r="C137" s="7"/>
      <c r="D137" s="7"/>
      <c r="E137" s="5"/>
      <c r="F137" s="8"/>
      <c r="G137" s="8"/>
      <c r="H137" s="8"/>
      <c r="I137" s="8"/>
      <c r="J137" s="5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5"/>
      <c r="V137" s="11"/>
      <c r="W137" s="14"/>
      <c r="X137" s="7"/>
      <c r="Y137" s="7"/>
      <c r="Z137" s="7"/>
      <c r="AA137" s="7"/>
      <c r="AB137" s="7"/>
      <c r="AC137" s="5"/>
      <c r="AD137" s="5"/>
      <c r="AE137" s="8"/>
      <c r="AF137" s="8"/>
      <c r="AG137" s="8"/>
      <c r="AH137" s="5"/>
      <c r="AI137" s="7"/>
      <c r="AJ137" s="7"/>
      <c r="AK137" s="5"/>
      <c r="AL137" s="5"/>
      <c r="AM137" s="5"/>
      <c r="AN137" s="14"/>
      <c r="AO137" s="14"/>
      <c r="AP137" s="14"/>
      <c r="AQ137" s="14"/>
      <c r="AR137" s="14"/>
      <c r="AS137" s="14"/>
      <c r="AT137" s="5"/>
      <c r="AU137" s="15"/>
      <c r="AV137" s="15"/>
      <c r="AW137" s="15"/>
      <c r="AX137" s="8"/>
      <c r="AY137" s="5"/>
    </row>
    <row r="138" customFormat="false" ht="13.8" hidden="false" customHeight="false" outlineLevel="0" collapsed="false">
      <c r="A138" s="5"/>
      <c r="B138" s="6"/>
      <c r="C138" s="7"/>
      <c r="D138" s="7"/>
      <c r="E138" s="5"/>
      <c r="F138" s="8"/>
      <c r="G138" s="8"/>
      <c r="H138" s="8"/>
      <c r="I138" s="8"/>
      <c r="J138" s="5"/>
      <c r="U138" s="5"/>
      <c r="V138" s="11"/>
      <c r="W138" s="14"/>
      <c r="X138" s="7"/>
      <c r="Y138" s="7"/>
      <c r="Z138" s="7"/>
      <c r="AA138" s="7"/>
      <c r="AB138" s="7"/>
      <c r="AC138" s="5"/>
      <c r="AD138" s="5"/>
      <c r="AE138" s="8"/>
      <c r="AF138" s="8"/>
      <c r="AG138" s="8"/>
      <c r="AH138" s="5"/>
      <c r="AI138" s="7"/>
      <c r="AJ138" s="7"/>
      <c r="AK138" s="5"/>
      <c r="AL138" s="5"/>
      <c r="AM138" s="5"/>
      <c r="AN138" s="14"/>
      <c r="AO138" s="14"/>
      <c r="AP138" s="14"/>
      <c r="AQ138" s="14"/>
      <c r="AR138" s="14"/>
      <c r="AS138" s="14"/>
      <c r="AT138" s="5"/>
      <c r="AU138" s="15"/>
      <c r="AV138" s="15"/>
      <c r="AW138" s="15"/>
      <c r="AX138" s="8"/>
      <c r="AY138" s="5"/>
    </row>
    <row r="139" customFormat="false" ht="13.8" hidden="false" customHeight="false" outlineLevel="0" collapsed="false">
      <c r="A139" s="5"/>
      <c r="B139" s="6"/>
      <c r="C139" s="7"/>
      <c r="D139" s="7"/>
      <c r="E139" s="5"/>
      <c r="F139" s="8"/>
      <c r="G139" s="8"/>
      <c r="H139" s="8"/>
      <c r="I139" s="8"/>
      <c r="J139" s="5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5"/>
      <c r="V139" s="11"/>
      <c r="W139" s="14"/>
      <c r="X139" s="7"/>
      <c r="Y139" s="7"/>
      <c r="Z139" s="7"/>
      <c r="AA139" s="7"/>
      <c r="AB139" s="7"/>
      <c r="AC139" s="5"/>
      <c r="AD139" s="5"/>
      <c r="AE139" s="8"/>
      <c r="AF139" s="8"/>
      <c r="AG139" s="8"/>
      <c r="AH139" s="5"/>
      <c r="AI139" s="7"/>
      <c r="AJ139" s="7"/>
      <c r="AK139" s="5"/>
      <c r="AL139" s="5"/>
      <c r="AM139" s="5"/>
      <c r="AN139" s="14"/>
      <c r="AO139" s="14"/>
      <c r="AP139" s="14"/>
      <c r="AQ139" s="14"/>
      <c r="AR139" s="14"/>
      <c r="AS139" s="14"/>
      <c r="AT139" s="5"/>
      <c r="AU139" s="15"/>
      <c r="AV139" s="15"/>
      <c r="AW139" s="15"/>
      <c r="AX139" s="8"/>
      <c r="AY139" s="5"/>
    </row>
    <row r="140" customFormat="false" ht="13.8" hidden="false" customHeight="false" outlineLevel="0" collapsed="false">
      <c r="A140" s="5"/>
      <c r="B140" s="6"/>
      <c r="C140" s="7"/>
      <c r="D140" s="7"/>
      <c r="E140" s="5"/>
      <c r="F140" s="8"/>
      <c r="G140" s="8"/>
      <c r="H140" s="8"/>
      <c r="I140" s="8"/>
      <c r="J140" s="5"/>
      <c r="U140" s="5"/>
      <c r="V140" s="11"/>
      <c r="W140" s="14"/>
      <c r="X140" s="7"/>
      <c r="Y140" s="7"/>
      <c r="Z140" s="7"/>
      <c r="AA140" s="7"/>
      <c r="AB140" s="7"/>
      <c r="AC140" s="5"/>
      <c r="AD140" s="5"/>
      <c r="AE140" s="8"/>
      <c r="AF140" s="8"/>
      <c r="AG140" s="8"/>
      <c r="AH140" s="5"/>
      <c r="AI140" s="7"/>
      <c r="AJ140" s="7"/>
      <c r="AK140" s="5"/>
      <c r="AL140" s="5"/>
      <c r="AM140" s="5"/>
      <c r="AN140" s="14"/>
      <c r="AO140" s="14"/>
      <c r="AP140" s="14"/>
      <c r="AQ140" s="14"/>
      <c r="AR140" s="14"/>
      <c r="AS140" s="14"/>
      <c r="AT140" s="5"/>
      <c r="AU140" s="15"/>
      <c r="AV140" s="15"/>
      <c r="AW140" s="15"/>
      <c r="AX140" s="8"/>
      <c r="AY140" s="5"/>
    </row>
    <row r="141" customFormat="false" ht="13.8" hidden="false" customHeight="false" outlineLevel="0" collapsed="false">
      <c r="A141" s="5"/>
      <c r="B141" s="6"/>
      <c r="C141" s="7"/>
      <c r="D141" s="7"/>
      <c r="E141" s="5"/>
      <c r="F141" s="8"/>
      <c r="G141" s="8"/>
      <c r="H141" s="8"/>
      <c r="I141" s="8"/>
      <c r="J141" s="5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5"/>
      <c r="V141" s="11"/>
      <c r="W141" s="14"/>
      <c r="X141" s="7"/>
      <c r="Y141" s="7"/>
      <c r="Z141" s="7"/>
      <c r="AA141" s="7"/>
      <c r="AB141" s="7"/>
      <c r="AC141" s="5"/>
      <c r="AD141" s="5"/>
      <c r="AE141" s="8"/>
      <c r="AF141" s="8"/>
      <c r="AG141" s="8"/>
      <c r="AH141" s="5"/>
      <c r="AI141" s="7"/>
      <c r="AJ141" s="7"/>
      <c r="AK141" s="5"/>
      <c r="AL141" s="5"/>
      <c r="AM141" s="5"/>
      <c r="AN141" s="14"/>
      <c r="AO141" s="14"/>
      <c r="AP141" s="14"/>
      <c r="AQ141" s="14"/>
      <c r="AR141" s="14"/>
      <c r="AS141" s="14"/>
      <c r="AT141" s="5"/>
      <c r="AU141" s="15"/>
      <c r="AV141" s="15"/>
      <c r="AW141" s="15"/>
      <c r="AX141" s="8"/>
      <c r="AY141" s="5"/>
    </row>
    <row r="142" customFormat="false" ht="13.8" hidden="false" customHeight="false" outlineLevel="0" collapsed="false">
      <c r="A142" s="5"/>
      <c r="B142" s="6"/>
      <c r="C142" s="7"/>
      <c r="D142" s="7"/>
      <c r="E142" s="5"/>
      <c r="F142" s="8"/>
      <c r="G142" s="8"/>
      <c r="H142" s="8"/>
      <c r="I142" s="8"/>
      <c r="J142" s="5"/>
      <c r="U142" s="5"/>
      <c r="V142" s="11"/>
      <c r="W142" s="14"/>
      <c r="X142" s="7"/>
      <c r="Y142" s="7"/>
      <c r="Z142" s="7"/>
      <c r="AA142" s="7"/>
      <c r="AB142" s="7"/>
      <c r="AC142" s="5"/>
      <c r="AD142" s="5"/>
      <c r="AE142" s="8"/>
      <c r="AF142" s="8"/>
      <c r="AG142" s="8"/>
      <c r="AH142" s="5"/>
      <c r="AI142" s="7"/>
      <c r="AJ142" s="7"/>
      <c r="AK142" s="5"/>
      <c r="AL142" s="5"/>
      <c r="AM142" s="5"/>
      <c r="AN142" s="14"/>
      <c r="AO142" s="14"/>
      <c r="AP142" s="14"/>
      <c r="AQ142" s="14"/>
      <c r="AR142" s="14"/>
      <c r="AS142" s="14"/>
      <c r="AT142" s="5"/>
      <c r="AU142" s="15"/>
      <c r="AV142" s="15"/>
      <c r="AW142" s="15"/>
      <c r="AX142" s="8"/>
      <c r="AY142" s="5"/>
    </row>
    <row r="143" customFormat="false" ht="13.8" hidden="false" customHeight="false" outlineLevel="0" collapsed="false">
      <c r="A143" s="5"/>
      <c r="B143" s="6"/>
      <c r="C143" s="7"/>
      <c r="D143" s="7"/>
      <c r="E143" s="5"/>
      <c r="F143" s="8"/>
      <c r="G143" s="8"/>
      <c r="H143" s="8"/>
      <c r="I143" s="8"/>
      <c r="J143" s="5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5"/>
      <c r="V143" s="11"/>
      <c r="W143" s="14"/>
      <c r="X143" s="7"/>
      <c r="Y143" s="7"/>
      <c r="Z143" s="7"/>
      <c r="AA143" s="7"/>
      <c r="AB143" s="7"/>
      <c r="AC143" s="5"/>
      <c r="AD143" s="5"/>
      <c r="AE143" s="8"/>
      <c r="AF143" s="8"/>
      <c r="AG143" s="8"/>
      <c r="AH143" s="5"/>
      <c r="AI143" s="7"/>
      <c r="AJ143" s="7"/>
      <c r="AK143" s="5"/>
      <c r="AL143" s="5"/>
      <c r="AM143" s="5"/>
      <c r="AN143" s="14"/>
      <c r="AO143" s="14"/>
      <c r="AP143" s="14"/>
      <c r="AQ143" s="14"/>
      <c r="AR143" s="14"/>
      <c r="AS143" s="14"/>
      <c r="AT143" s="5"/>
      <c r="AU143" s="15"/>
      <c r="AV143" s="15"/>
      <c r="AW143" s="15"/>
      <c r="AX143" s="8"/>
      <c r="AY143" s="5"/>
    </row>
    <row r="144" customFormat="false" ht="13.8" hidden="false" customHeight="false" outlineLevel="0" collapsed="false">
      <c r="A144" s="5"/>
      <c r="B144" s="6"/>
      <c r="C144" s="7"/>
      <c r="D144" s="7"/>
      <c r="E144" s="5"/>
      <c r="F144" s="8"/>
      <c r="G144" s="8"/>
      <c r="H144" s="8"/>
      <c r="I144" s="8"/>
      <c r="J144" s="5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5"/>
      <c r="V144" s="11"/>
      <c r="W144" s="14"/>
      <c r="X144" s="7"/>
      <c r="Y144" s="7"/>
      <c r="Z144" s="7"/>
      <c r="AA144" s="7"/>
      <c r="AB144" s="7"/>
      <c r="AC144" s="5"/>
      <c r="AD144" s="5"/>
      <c r="AE144" s="8"/>
      <c r="AF144" s="8"/>
      <c r="AG144" s="8"/>
      <c r="AH144" s="5"/>
      <c r="AI144" s="7"/>
      <c r="AJ144" s="7"/>
      <c r="AK144" s="5"/>
      <c r="AL144" s="5"/>
      <c r="AM144" s="5"/>
      <c r="AN144" s="14"/>
      <c r="AO144" s="14"/>
      <c r="AP144" s="14"/>
      <c r="AQ144" s="14"/>
      <c r="AR144" s="14"/>
      <c r="AS144" s="14"/>
      <c r="AT144" s="5"/>
      <c r="AU144" s="15"/>
      <c r="AV144" s="15"/>
      <c r="AW144" s="15"/>
      <c r="AX144" s="8"/>
      <c r="AY144" s="5"/>
    </row>
    <row r="145" customFormat="false" ht="13.8" hidden="false" customHeight="false" outlineLevel="0" collapsed="false">
      <c r="A145" s="5"/>
      <c r="B145" s="6"/>
      <c r="C145" s="7"/>
      <c r="D145" s="7"/>
      <c r="E145" s="5"/>
      <c r="F145" s="8"/>
      <c r="G145" s="8"/>
      <c r="H145" s="8"/>
      <c r="I145" s="8"/>
      <c r="J145" s="5"/>
      <c r="U145" s="5"/>
      <c r="V145" s="11"/>
      <c r="W145" s="14"/>
      <c r="X145" s="7"/>
      <c r="Y145" s="7"/>
      <c r="Z145" s="7"/>
      <c r="AA145" s="7"/>
      <c r="AB145" s="7"/>
      <c r="AC145" s="5"/>
      <c r="AD145" s="5"/>
      <c r="AE145" s="8"/>
      <c r="AF145" s="8"/>
      <c r="AG145" s="8"/>
      <c r="AH145" s="5"/>
      <c r="AI145" s="7"/>
      <c r="AJ145" s="7"/>
      <c r="AK145" s="5"/>
      <c r="AL145" s="5"/>
      <c r="AM145" s="5"/>
      <c r="AN145" s="14"/>
      <c r="AO145" s="14"/>
      <c r="AP145" s="14"/>
      <c r="AQ145" s="14"/>
      <c r="AR145" s="14"/>
      <c r="AS145" s="14"/>
      <c r="AT145" s="5"/>
      <c r="AU145" s="15"/>
      <c r="AV145" s="15"/>
      <c r="AW145" s="15"/>
      <c r="AX145" s="8"/>
      <c r="AY145" s="5"/>
    </row>
    <row r="146" customFormat="false" ht="13.8" hidden="false" customHeight="false" outlineLevel="0" collapsed="false">
      <c r="A146" s="5"/>
      <c r="B146" s="6"/>
      <c r="C146" s="7"/>
      <c r="D146" s="7"/>
      <c r="E146" s="5"/>
      <c r="F146" s="8"/>
      <c r="G146" s="8"/>
      <c r="H146" s="8"/>
      <c r="I146" s="8"/>
      <c r="J146" s="5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5"/>
      <c r="V146" s="11"/>
      <c r="W146" s="14"/>
      <c r="X146" s="7"/>
      <c r="Y146" s="7"/>
      <c r="Z146" s="7"/>
      <c r="AA146" s="7"/>
      <c r="AB146" s="7"/>
      <c r="AC146" s="5"/>
      <c r="AD146" s="5"/>
      <c r="AE146" s="8"/>
      <c r="AF146" s="8"/>
      <c r="AG146" s="8"/>
      <c r="AH146" s="5"/>
      <c r="AI146" s="7"/>
      <c r="AJ146" s="7"/>
      <c r="AK146" s="5"/>
      <c r="AL146" s="5"/>
      <c r="AM146" s="5"/>
      <c r="AN146" s="14"/>
      <c r="AO146" s="14"/>
      <c r="AP146" s="14"/>
      <c r="AQ146" s="14"/>
      <c r="AR146" s="14"/>
      <c r="AS146" s="14"/>
      <c r="AT146" s="5"/>
      <c r="AU146" s="15"/>
      <c r="AV146" s="15"/>
      <c r="AW146" s="15"/>
      <c r="AX146" s="8"/>
      <c r="AY146" s="5"/>
    </row>
    <row r="147" customFormat="false" ht="13.8" hidden="false" customHeight="false" outlineLevel="0" collapsed="false">
      <c r="A147" s="5"/>
      <c r="B147" s="6"/>
      <c r="C147" s="7"/>
      <c r="D147" s="7"/>
      <c r="E147" s="5"/>
      <c r="F147" s="8"/>
      <c r="G147" s="8"/>
      <c r="H147" s="8"/>
      <c r="I147" s="8"/>
      <c r="J147" s="5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5"/>
      <c r="V147" s="11"/>
      <c r="W147" s="14"/>
      <c r="X147" s="7"/>
      <c r="Y147" s="7"/>
      <c r="Z147" s="7"/>
      <c r="AA147" s="7"/>
      <c r="AB147" s="7"/>
      <c r="AC147" s="5"/>
      <c r="AD147" s="5"/>
      <c r="AE147" s="8"/>
      <c r="AF147" s="8"/>
      <c r="AG147" s="8"/>
      <c r="AH147" s="5"/>
      <c r="AI147" s="7"/>
      <c r="AJ147" s="7"/>
      <c r="AK147" s="5"/>
      <c r="AL147" s="5"/>
      <c r="AM147" s="5"/>
      <c r="AN147" s="14"/>
      <c r="AO147" s="14"/>
      <c r="AP147" s="14"/>
      <c r="AQ147" s="14"/>
      <c r="AR147" s="14"/>
      <c r="AS147" s="14"/>
      <c r="AT147" s="5"/>
      <c r="AU147" s="15"/>
      <c r="AV147" s="15"/>
      <c r="AW147" s="15"/>
      <c r="AX147" s="8"/>
      <c r="AY147" s="5"/>
    </row>
    <row r="148" customFormat="false" ht="13.8" hidden="false" customHeight="false" outlineLevel="0" collapsed="false">
      <c r="A148" s="5"/>
      <c r="B148" s="6"/>
      <c r="C148" s="7"/>
      <c r="D148" s="7"/>
      <c r="E148" s="5"/>
      <c r="F148" s="8"/>
      <c r="G148" s="8"/>
      <c r="H148" s="8"/>
      <c r="I148" s="8"/>
      <c r="J148" s="5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5"/>
      <c r="V148" s="11"/>
      <c r="W148" s="14"/>
      <c r="X148" s="7"/>
      <c r="Y148" s="7"/>
      <c r="Z148" s="7"/>
      <c r="AA148" s="7"/>
      <c r="AB148" s="7"/>
      <c r="AC148" s="5"/>
      <c r="AD148" s="5"/>
      <c r="AE148" s="8"/>
      <c r="AF148" s="8"/>
      <c r="AG148" s="8"/>
      <c r="AH148" s="5"/>
      <c r="AI148" s="7"/>
      <c r="AJ148" s="7"/>
      <c r="AK148" s="5"/>
      <c r="AL148" s="5"/>
      <c r="AM148" s="5"/>
      <c r="AN148" s="14"/>
      <c r="AO148" s="14"/>
      <c r="AP148" s="14"/>
      <c r="AQ148" s="14"/>
      <c r="AR148" s="14"/>
      <c r="AS148" s="14"/>
      <c r="AT148" s="5"/>
      <c r="AU148" s="15"/>
      <c r="AV148" s="15"/>
      <c r="AW148" s="15"/>
      <c r="AX148" s="8"/>
      <c r="AY148" s="5"/>
    </row>
    <row r="149" customFormat="false" ht="13.8" hidden="false" customHeight="false" outlineLevel="0" collapsed="false">
      <c r="A149" s="5"/>
      <c r="B149" s="6"/>
      <c r="C149" s="7"/>
      <c r="D149" s="7"/>
      <c r="E149" s="5"/>
      <c r="F149" s="8"/>
      <c r="G149" s="8"/>
      <c r="H149" s="8"/>
      <c r="I149" s="8"/>
      <c r="J149" s="5"/>
      <c r="U149" s="5"/>
      <c r="V149" s="11"/>
      <c r="W149" s="14"/>
      <c r="X149" s="7"/>
      <c r="Y149" s="7"/>
      <c r="Z149" s="7"/>
      <c r="AA149" s="7"/>
      <c r="AB149" s="7"/>
      <c r="AC149" s="5"/>
      <c r="AD149" s="5"/>
      <c r="AE149" s="8"/>
      <c r="AF149" s="8"/>
      <c r="AG149" s="8"/>
      <c r="AH149" s="5"/>
      <c r="AI149" s="7"/>
      <c r="AJ149" s="7"/>
      <c r="AK149" s="5"/>
      <c r="AL149" s="5"/>
      <c r="AM149" s="5"/>
      <c r="AN149" s="14"/>
      <c r="AO149" s="14"/>
      <c r="AP149" s="14"/>
      <c r="AQ149" s="14"/>
      <c r="AR149" s="14"/>
      <c r="AS149" s="14"/>
      <c r="AT149" s="5"/>
      <c r="AU149" s="15"/>
      <c r="AV149" s="15"/>
      <c r="AW149" s="15"/>
      <c r="AX149" s="8"/>
      <c r="AY149" s="5"/>
    </row>
    <row r="150" customFormat="false" ht="13.8" hidden="false" customHeight="false" outlineLevel="0" collapsed="false">
      <c r="A150" s="5"/>
      <c r="B150" s="6"/>
      <c r="C150" s="7"/>
      <c r="D150" s="7"/>
      <c r="E150" s="5"/>
      <c r="F150" s="8"/>
      <c r="G150" s="8"/>
      <c r="H150" s="8"/>
      <c r="I150" s="8"/>
      <c r="J150" s="5"/>
      <c r="U150" s="5"/>
      <c r="V150" s="11"/>
      <c r="W150" s="14"/>
      <c r="X150" s="7"/>
      <c r="Y150" s="7"/>
      <c r="Z150" s="7"/>
      <c r="AA150" s="7"/>
      <c r="AB150" s="7"/>
      <c r="AC150" s="5"/>
      <c r="AD150" s="5"/>
      <c r="AE150" s="8"/>
      <c r="AF150" s="8"/>
      <c r="AG150" s="8"/>
      <c r="AH150" s="5"/>
      <c r="AI150" s="7"/>
      <c r="AJ150" s="7"/>
      <c r="AK150" s="5"/>
      <c r="AL150" s="5"/>
      <c r="AM150" s="5"/>
      <c r="AN150" s="14"/>
      <c r="AO150" s="14"/>
      <c r="AP150" s="14"/>
      <c r="AQ150" s="14"/>
      <c r="AR150" s="14"/>
      <c r="AS150" s="14"/>
      <c r="AT150" s="5"/>
      <c r="AU150" s="15"/>
      <c r="AV150" s="15"/>
      <c r="AW150" s="15"/>
      <c r="AX150" s="8"/>
      <c r="AY150" s="5"/>
    </row>
    <row r="151" customFormat="false" ht="13.8" hidden="false" customHeight="false" outlineLevel="0" collapsed="false">
      <c r="A151" s="5"/>
      <c r="B151" s="6"/>
      <c r="C151" s="7"/>
      <c r="D151" s="7"/>
      <c r="E151" s="5"/>
      <c r="F151" s="8"/>
      <c r="G151" s="8"/>
      <c r="H151" s="8"/>
      <c r="I151" s="8"/>
      <c r="J151" s="5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5"/>
      <c r="V151" s="11"/>
      <c r="W151" s="14"/>
      <c r="X151" s="7"/>
      <c r="Y151" s="7"/>
      <c r="Z151" s="7"/>
      <c r="AA151" s="7"/>
      <c r="AB151" s="7"/>
      <c r="AC151" s="5"/>
      <c r="AD151" s="5"/>
      <c r="AE151" s="8"/>
      <c r="AF151" s="8"/>
      <c r="AG151" s="8"/>
      <c r="AH151" s="5"/>
      <c r="AI151" s="7"/>
      <c r="AJ151" s="7"/>
      <c r="AK151" s="5"/>
      <c r="AL151" s="5"/>
      <c r="AM151" s="5"/>
      <c r="AN151" s="14"/>
      <c r="AO151" s="14"/>
      <c r="AP151" s="14"/>
      <c r="AQ151" s="14"/>
      <c r="AR151" s="14"/>
      <c r="AS151" s="14"/>
      <c r="AT151" s="5"/>
      <c r="AU151" s="15"/>
      <c r="AV151" s="15"/>
      <c r="AW151" s="15"/>
      <c r="AX151" s="8"/>
      <c r="AY151" s="5"/>
    </row>
    <row r="152" customFormat="false" ht="13.8" hidden="false" customHeight="false" outlineLevel="0" collapsed="false">
      <c r="A152" s="5"/>
      <c r="B152" s="6"/>
      <c r="C152" s="7"/>
      <c r="D152" s="7"/>
      <c r="E152" s="5"/>
      <c r="F152" s="8"/>
      <c r="G152" s="8"/>
      <c r="H152" s="8"/>
      <c r="I152" s="8"/>
      <c r="J152" s="5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5"/>
      <c r="V152" s="11"/>
      <c r="W152" s="14"/>
      <c r="X152" s="7"/>
      <c r="Y152" s="7"/>
      <c r="Z152" s="7"/>
      <c r="AA152" s="7"/>
      <c r="AB152" s="7"/>
      <c r="AC152" s="5"/>
      <c r="AD152" s="5"/>
      <c r="AE152" s="8"/>
      <c r="AF152" s="8"/>
      <c r="AG152" s="8"/>
      <c r="AH152" s="5"/>
      <c r="AI152" s="7"/>
      <c r="AJ152" s="7"/>
      <c r="AK152" s="5"/>
      <c r="AL152" s="5"/>
      <c r="AM152" s="5"/>
      <c r="AN152" s="14"/>
      <c r="AO152" s="14"/>
      <c r="AP152" s="14"/>
      <c r="AQ152" s="14"/>
      <c r="AR152" s="14"/>
      <c r="AS152" s="14"/>
      <c r="AT152" s="5"/>
      <c r="AU152" s="15"/>
      <c r="AV152" s="15"/>
      <c r="AW152" s="15"/>
      <c r="AX152" s="8"/>
      <c r="AY152" s="5"/>
    </row>
    <row r="153" customFormat="false" ht="13.8" hidden="false" customHeight="false" outlineLevel="0" collapsed="false">
      <c r="A153" s="5"/>
      <c r="B153" s="6"/>
      <c r="C153" s="7"/>
      <c r="D153" s="7"/>
      <c r="E153" s="5"/>
      <c r="F153" s="8"/>
      <c r="G153" s="8"/>
      <c r="H153" s="8"/>
      <c r="I153" s="8"/>
      <c r="J153" s="5"/>
      <c r="U153" s="5"/>
      <c r="V153" s="11"/>
      <c r="W153" s="14"/>
      <c r="X153" s="7"/>
      <c r="Y153" s="7"/>
      <c r="Z153" s="7"/>
      <c r="AA153" s="7"/>
      <c r="AB153" s="7"/>
      <c r="AC153" s="5"/>
      <c r="AD153" s="5"/>
      <c r="AE153" s="8"/>
      <c r="AF153" s="8"/>
      <c r="AG153" s="8"/>
      <c r="AH153" s="5"/>
      <c r="AI153" s="7"/>
      <c r="AJ153" s="7"/>
      <c r="AK153" s="5"/>
      <c r="AL153" s="5"/>
      <c r="AM153" s="5"/>
      <c r="AN153" s="14"/>
      <c r="AO153" s="14"/>
      <c r="AP153" s="14"/>
      <c r="AQ153" s="14"/>
      <c r="AR153" s="14"/>
      <c r="AS153" s="14"/>
      <c r="AT153" s="5"/>
      <c r="AU153" s="15"/>
      <c r="AV153" s="15"/>
      <c r="AW153" s="15"/>
      <c r="AX153" s="8"/>
      <c r="AY153" s="5"/>
    </row>
    <row r="154" customFormat="false" ht="13.8" hidden="false" customHeight="false" outlineLevel="0" collapsed="false">
      <c r="A154" s="5"/>
      <c r="B154" s="6"/>
      <c r="C154" s="7"/>
      <c r="D154" s="7"/>
      <c r="E154" s="5"/>
      <c r="F154" s="8"/>
      <c r="G154" s="8"/>
      <c r="H154" s="8"/>
      <c r="I154" s="8"/>
      <c r="J154" s="5"/>
      <c r="U154" s="5"/>
      <c r="V154" s="11"/>
      <c r="W154" s="14"/>
      <c r="X154" s="7"/>
      <c r="Y154" s="7"/>
      <c r="Z154" s="7"/>
      <c r="AA154" s="7"/>
      <c r="AB154" s="7"/>
      <c r="AC154" s="5"/>
      <c r="AD154" s="5"/>
      <c r="AE154" s="8"/>
      <c r="AF154" s="8"/>
      <c r="AG154" s="8"/>
      <c r="AH154" s="5"/>
      <c r="AI154" s="7"/>
      <c r="AJ154" s="7"/>
      <c r="AK154" s="5"/>
      <c r="AL154" s="5"/>
      <c r="AM154" s="5"/>
      <c r="AN154" s="14"/>
      <c r="AO154" s="14"/>
      <c r="AP154" s="14"/>
      <c r="AQ154" s="14"/>
      <c r="AR154" s="14"/>
      <c r="AS154" s="14"/>
      <c r="AT154" s="5"/>
      <c r="AU154" s="15"/>
      <c r="AV154" s="15"/>
      <c r="AW154" s="15"/>
      <c r="AX154" s="8"/>
      <c r="AY154" s="5"/>
    </row>
    <row r="155" customFormat="false" ht="13.8" hidden="false" customHeight="false" outlineLevel="0" collapsed="false">
      <c r="A155" s="5"/>
      <c r="B155" s="6"/>
      <c r="C155" s="7"/>
      <c r="D155" s="7"/>
      <c r="E155" s="5"/>
      <c r="F155" s="8"/>
      <c r="G155" s="8"/>
      <c r="H155" s="8"/>
      <c r="I155" s="8"/>
      <c r="J155" s="5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5"/>
      <c r="V155" s="11"/>
      <c r="W155" s="14"/>
      <c r="X155" s="7"/>
      <c r="Y155" s="7"/>
      <c r="Z155" s="7"/>
      <c r="AA155" s="7"/>
      <c r="AB155" s="7"/>
      <c r="AC155" s="5"/>
      <c r="AD155" s="5"/>
      <c r="AE155" s="8"/>
      <c r="AF155" s="8"/>
      <c r="AG155" s="8"/>
      <c r="AH155" s="5"/>
      <c r="AI155" s="7"/>
      <c r="AJ155" s="7"/>
      <c r="AK155" s="5"/>
      <c r="AL155" s="5"/>
      <c r="AM155" s="5"/>
      <c r="AN155" s="14"/>
      <c r="AO155" s="14"/>
      <c r="AP155" s="14"/>
      <c r="AQ155" s="14"/>
      <c r="AR155" s="14"/>
      <c r="AS155" s="14"/>
      <c r="AT155" s="5"/>
      <c r="AU155" s="15"/>
      <c r="AV155" s="15"/>
      <c r="AW155" s="15"/>
      <c r="AX155" s="8"/>
      <c r="AY155" s="5"/>
    </row>
    <row r="156" customFormat="false" ht="13.8" hidden="false" customHeight="false" outlineLevel="0" collapsed="false">
      <c r="A156" s="5"/>
      <c r="B156" s="6"/>
      <c r="C156" s="7"/>
      <c r="D156" s="7"/>
      <c r="E156" s="5"/>
      <c r="F156" s="8"/>
      <c r="G156" s="8"/>
      <c r="H156" s="8"/>
      <c r="I156" s="8"/>
      <c r="J156" s="5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5"/>
      <c r="V156" s="11"/>
      <c r="W156" s="14"/>
      <c r="X156" s="7"/>
      <c r="Y156" s="7"/>
      <c r="Z156" s="7"/>
      <c r="AA156" s="7"/>
      <c r="AB156" s="7"/>
      <c r="AC156" s="5"/>
      <c r="AD156" s="5"/>
      <c r="AE156" s="8"/>
      <c r="AF156" s="8"/>
      <c r="AG156" s="8"/>
      <c r="AH156" s="5"/>
      <c r="AI156" s="7"/>
      <c r="AJ156" s="7"/>
      <c r="AK156" s="5"/>
      <c r="AL156" s="5"/>
      <c r="AM156" s="5"/>
      <c r="AN156" s="14"/>
      <c r="AO156" s="14"/>
      <c r="AP156" s="14"/>
      <c r="AQ156" s="14"/>
      <c r="AR156" s="14"/>
      <c r="AS156" s="14"/>
      <c r="AT156" s="5"/>
      <c r="AU156" s="15"/>
      <c r="AV156" s="15"/>
      <c r="AW156" s="15"/>
      <c r="AX156" s="8"/>
      <c r="AY156" s="5"/>
    </row>
    <row r="157" customFormat="false" ht="13.8" hidden="false" customHeight="false" outlineLevel="0" collapsed="false">
      <c r="A157" s="5"/>
      <c r="B157" s="6"/>
      <c r="C157" s="7"/>
      <c r="D157" s="7"/>
      <c r="E157" s="5"/>
      <c r="F157" s="8"/>
      <c r="G157" s="8"/>
      <c r="H157" s="8"/>
      <c r="I157" s="8"/>
      <c r="J157" s="5"/>
      <c r="K157" s="13"/>
      <c r="L157" s="13"/>
      <c r="M157" s="13"/>
      <c r="N157" s="13"/>
      <c r="P157" s="13"/>
      <c r="Q157" s="13"/>
      <c r="R157" s="13"/>
      <c r="S157" s="13"/>
      <c r="T157" s="13"/>
      <c r="U157" s="5"/>
      <c r="V157" s="11"/>
      <c r="W157" s="14"/>
      <c r="X157" s="7"/>
      <c r="Y157" s="7"/>
      <c r="Z157" s="7"/>
      <c r="AA157" s="7"/>
      <c r="AB157" s="7"/>
      <c r="AC157" s="5"/>
      <c r="AD157" s="5"/>
      <c r="AE157" s="8"/>
      <c r="AF157" s="8"/>
      <c r="AG157" s="8"/>
      <c r="AH157" s="5"/>
      <c r="AI157" s="7"/>
      <c r="AJ157" s="7"/>
      <c r="AK157" s="5"/>
      <c r="AL157" s="5"/>
      <c r="AM157" s="5"/>
      <c r="AN157" s="14"/>
      <c r="AO157" s="14"/>
      <c r="AP157" s="14"/>
      <c r="AQ157" s="14"/>
      <c r="AR157" s="14"/>
      <c r="AS157" s="14"/>
      <c r="AT157" s="5"/>
      <c r="AU157" s="15"/>
      <c r="AV157" s="15"/>
      <c r="AW157" s="15"/>
      <c r="AX157" s="8"/>
      <c r="AY157" s="5"/>
    </row>
    <row r="158" customFormat="false" ht="13.8" hidden="false" customHeight="false" outlineLevel="0" collapsed="false">
      <c r="A158" s="5"/>
      <c r="B158" s="6"/>
      <c r="C158" s="7"/>
      <c r="D158" s="7"/>
      <c r="E158" s="5"/>
      <c r="F158" s="8"/>
      <c r="G158" s="8"/>
      <c r="H158" s="8"/>
      <c r="I158" s="8"/>
      <c r="J158" s="5"/>
      <c r="U158" s="5"/>
      <c r="V158" s="11"/>
      <c r="W158" s="14"/>
      <c r="X158" s="7"/>
      <c r="Y158" s="7"/>
      <c r="Z158" s="7"/>
      <c r="AA158" s="7"/>
      <c r="AB158" s="7"/>
      <c r="AC158" s="5"/>
      <c r="AD158" s="5"/>
      <c r="AE158" s="8"/>
      <c r="AF158" s="8"/>
      <c r="AG158" s="8"/>
      <c r="AH158" s="5"/>
      <c r="AI158" s="7"/>
      <c r="AJ158" s="7"/>
      <c r="AK158" s="5"/>
      <c r="AL158" s="5"/>
      <c r="AM158" s="5"/>
      <c r="AN158" s="14"/>
      <c r="AO158" s="14"/>
      <c r="AP158" s="14"/>
      <c r="AQ158" s="14"/>
      <c r="AR158" s="14"/>
      <c r="AS158" s="14"/>
      <c r="AT158" s="5"/>
      <c r="AU158" s="15"/>
      <c r="AV158" s="15"/>
      <c r="AW158" s="15"/>
      <c r="AX158" s="8"/>
      <c r="AY158" s="5"/>
    </row>
    <row r="159" customFormat="false" ht="13.8" hidden="false" customHeight="false" outlineLevel="0" collapsed="false">
      <c r="A159" s="5"/>
      <c r="B159" s="6"/>
      <c r="C159" s="7"/>
      <c r="D159" s="7"/>
      <c r="E159" s="5"/>
      <c r="F159" s="8"/>
      <c r="G159" s="8"/>
      <c r="H159" s="8"/>
      <c r="I159" s="8"/>
      <c r="J159" s="5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5"/>
      <c r="V159" s="11"/>
      <c r="W159" s="14"/>
      <c r="X159" s="7"/>
      <c r="Y159" s="7"/>
      <c r="Z159" s="7"/>
      <c r="AA159" s="7"/>
      <c r="AB159" s="7"/>
      <c r="AC159" s="5"/>
      <c r="AD159" s="5"/>
      <c r="AE159" s="8"/>
      <c r="AF159" s="8"/>
      <c r="AG159" s="8"/>
      <c r="AH159" s="5"/>
      <c r="AI159" s="7"/>
      <c r="AJ159" s="7"/>
      <c r="AK159" s="5"/>
      <c r="AL159" s="5"/>
      <c r="AM159" s="5"/>
      <c r="AN159" s="14"/>
      <c r="AO159" s="14"/>
      <c r="AP159" s="14"/>
      <c r="AQ159" s="14"/>
      <c r="AR159" s="14"/>
      <c r="AS159" s="14"/>
      <c r="AT159" s="5"/>
      <c r="AU159" s="15"/>
      <c r="AV159" s="15"/>
      <c r="AW159" s="15"/>
      <c r="AX159" s="8"/>
      <c r="AY159" s="5"/>
    </row>
    <row r="160" customFormat="false" ht="13.8" hidden="false" customHeight="false" outlineLevel="0" collapsed="false">
      <c r="A160" s="5"/>
      <c r="B160" s="6"/>
      <c r="C160" s="7"/>
      <c r="D160" s="7"/>
      <c r="E160" s="5"/>
      <c r="F160" s="8"/>
      <c r="G160" s="8"/>
      <c r="H160" s="8"/>
      <c r="I160" s="8"/>
      <c r="J160" s="5"/>
      <c r="U160" s="5"/>
      <c r="V160" s="11"/>
      <c r="W160" s="14"/>
      <c r="X160" s="7"/>
      <c r="Y160" s="7"/>
      <c r="Z160" s="7"/>
      <c r="AA160" s="7"/>
      <c r="AB160" s="7"/>
      <c r="AC160" s="5"/>
      <c r="AD160" s="5"/>
      <c r="AE160" s="8"/>
      <c r="AF160" s="8"/>
      <c r="AG160" s="8"/>
      <c r="AH160" s="5"/>
      <c r="AI160" s="7"/>
      <c r="AJ160" s="7"/>
      <c r="AK160" s="5"/>
      <c r="AL160" s="5"/>
      <c r="AM160" s="5"/>
      <c r="AN160" s="14"/>
      <c r="AO160" s="14"/>
      <c r="AP160" s="14"/>
      <c r="AQ160" s="14"/>
      <c r="AR160" s="14"/>
      <c r="AS160" s="14"/>
      <c r="AT160" s="5"/>
      <c r="AU160" s="15"/>
      <c r="AV160" s="15"/>
      <c r="AW160" s="15"/>
      <c r="AX160" s="8"/>
      <c r="AY160" s="5"/>
    </row>
    <row r="161" customFormat="false" ht="13.8" hidden="false" customHeight="false" outlineLevel="0" collapsed="false">
      <c r="A161" s="5"/>
      <c r="B161" s="6"/>
      <c r="C161" s="7"/>
      <c r="D161" s="7"/>
      <c r="E161" s="5"/>
      <c r="F161" s="8"/>
      <c r="G161" s="8"/>
      <c r="H161" s="8"/>
      <c r="I161" s="8"/>
      <c r="J161" s="5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5"/>
      <c r="V161" s="11"/>
      <c r="W161" s="14"/>
      <c r="X161" s="7"/>
      <c r="Y161" s="7"/>
      <c r="Z161" s="7"/>
      <c r="AA161" s="7"/>
      <c r="AB161" s="7"/>
      <c r="AC161" s="5"/>
      <c r="AD161" s="5"/>
      <c r="AE161" s="8"/>
      <c r="AF161" s="8"/>
      <c r="AG161" s="8"/>
      <c r="AH161" s="5"/>
      <c r="AI161" s="7"/>
      <c r="AJ161" s="7"/>
      <c r="AK161" s="5"/>
      <c r="AL161" s="5"/>
      <c r="AM161" s="5"/>
      <c r="AN161" s="14"/>
      <c r="AO161" s="14"/>
      <c r="AP161" s="14"/>
      <c r="AQ161" s="14"/>
      <c r="AR161" s="14"/>
      <c r="AS161" s="14"/>
      <c r="AT161" s="5"/>
      <c r="AU161" s="15"/>
      <c r="AV161" s="15"/>
      <c r="AW161" s="15"/>
      <c r="AX161" s="8"/>
      <c r="AY161" s="5"/>
    </row>
    <row r="162" customFormat="false" ht="13.8" hidden="false" customHeight="false" outlineLevel="0" collapsed="false">
      <c r="A162" s="5"/>
      <c r="B162" s="6"/>
      <c r="C162" s="7"/>
      <c r="D162" s="7"/>
      <c r="E162" s="5"/>
      <c r="F162" s="8"/>
      <c r="G162" s="8"/>
      <c r="H162" s="8"/>
      <c r="I162" s="8"/>
      <c r="J162" s="5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5"/>
      <c r="V162" s="11"/>
      <c r="W162" s="14"/>
      <c r="X162" s="7"/>
      <c r="Y162" s="7"/>
      <c r="Z162" s="7"/>
      <c r="AA162" s="7"/>
      <c r="AB162" s="7"/>
      <c r="AC162" s="5"/>
      <c r="AD162" s="5"/>
      <c r="AE162" s="8"/>
      <c r="AF162" s="8"/>
      <c r="AG162" s="8"/>
      <c r="AH162" s="5"/>
      <c r="AI162" s="7"/>
      <c r="AJ162" s="7"/>
      <c r="AK162" s="5"/>
      <c r="AL162" s="5"/>
      <c r="AM162" s="5"/>
      <c r="AN162" s="14"/>
      <c r="AO162" s="14"/>
      <c r="AP162" s="14"/>
      <c r="AQ162" s="14"/>
      <c r="AR162" s="14"/>
      <c r="AS162" s="14"/>
      <c r="AT162" s="5"/>
      <c r="AU162" s="15"/>
      <c r="AV162" s="15"/>
      <c r="AW162" s="15"/>
      <c r="AX162" s="8"/>
      <c r="AY162" s="5"/>
    </row>
    <row r="163" customFormat="false" ht="13.8" hidden="false" customHeight="false" outlineLevel="0" collapsed="false">
      <c r="A163" s="5"/>
      <c r="B163" s="6"/>
      <c r="C163" s="7"/>
      <c r="D163" s="7"/>
      <c r="E163" s="5"/>
      <c r="F163" s="8"/>
      <c r="G163" s="8"/>
      <c r="H163" s="8"/>
      <c r="I163" s="8"/>
      <c r="J163" s="5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5"/>
      <c r="V163" s="11"/>
      <c r="W163" s="14"/>
      <c r="X163" s="7"/>
      <c r="Y163" s="7"/>
      <c r="Z163" s="7"/>
      <c r="AA163" s="7"/>
      <c r="AB163" s="7"/>
      <c r="AC163" s="5"/>
      <c r="AD163" s="5"/>
      <c r="AE163" s="8"/>
      <c r="AF163" s="8"/>
      <c r="AG163" s="8"/>
      <c r="AH163" s="5"/>
      <c r="AI163" s="7"/>
      <c r="AJ163" s="7"/>
      <c r="AK163" s="5"/>
      <c r="AL163" s="5"/>
      <c r="AM163" s="5"/>
      <c r="AN163" s="14"/>
      <c r="AO163" s="14"/>
      <c r="AP163" s="14"/>
      <c r="AQ163" s="14"/>
      <c r="AR163" s="14"/>
      <c r="AS163" s="14"/>
      <c r="AT163" s="5"/>
      <c r="AU163" s="15"/>
      <c r="AV163" s="15"/>
      <c r="AW163" s="15"/>
      <c r="AX163" s="8"/>
      <c r="AY163" s="5"/>
    </row>
    <row r="164" customFormat="false" ht="13.8" hidden="false" customHeight="false" outlineLevel="0" collapsed="false">
      <c r="A164" s="5"/>
      <c r="B164" s="6"/>
      <c r="C164" s="7"/>
      <c r="D164" s="7"/>
      <c r="E164" s="5"/>
      <c r="F164" s="8"/>
      <c r="G164" s="8"/>
      <c r="H164" s="8"/>
      <c r="I164" s="8"/>
      <c r="J164" s="5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5"/>
      <c r="V164" s="11"/>
      <c r="W164" s="14"/>
      <c r="X164" s="7"/>
      <c r="Y164" s="7"/>
      <c r="Z164" s="7"/>
      <c r="AA164" s="7"/>
      <c r="AB164" s="7"/>
      <c r="AC164" s="5"/>
      <c r="AD164" s="5"/>
      <c r="AE164" s="8"/>
      <c r="AF164" s="8"/>
      <c r="AG164" s="8"/>
      <c r="AH164" s="5"/>
      <c r="AI164" s="7"/>
      <c r="AJ164" s="7"/>
      <c r="AK164" s="5"/>
      <c r="AL164" s="5"/>
      <c r="AM164" s="5"/>
      <c r="AN164" s="14"/>
      <c r="AO164" s="14"/>
      <c r="AP164" s="14"/>
      <c r="AQ164" s="14"/>
      <c r="AR164" s="14"/>
      <c r="AS164" s="14"/>
      <c r="AT164" s="5"/>
      <c r="AU164" s="15"/>
      <c r="AV164" s="15"/>
      <c r="AW164" s="15"/>
      <c r="AX164" s="8"/>
      <c r="AY164" s="5"/>
    </row>
    <row r="165" customFormat="false" ht="13.8" hidden="false" customHeight="false" outlineLevel="0" collapsed="false">
      <c r="A165" s="5"/>
      <c r="B165" s="6"/>
      <c r="C165" s="7"/>
      <c r="D165" s="7"/>
      <c r="E165" s="5"/>
      <c r="F165" s="8"/>
      <c r="G165" s="8"/>
      <c r="H165" s="8"/>
      <c r="I165" s="8"/>
      <c r="J165" s="5"/>
      <c r="K165" s="13"/>
      <c r="L165" s="13"/>
      <c r="M165" s="13"/>
      <c r="N165" s="13"/>
      <c r="O165" s="19"/>
      <c r="P165" s="13"/>
      <c r="Q165" s="13"/>
      <c r="R165" s="13"/>
      <c r="S165" s="13"/>
      <c r="T165" s="13"/>
      <c r="U165" s="5"/>
      <c r="V165" s="11"/>
      <c r="W165" s="14"/>
      <c r="X165" s="7"/>
      <c r="Y165" s="7"/>
      <c r="Z165" s="7"/>
      <c r="AA165" s="7"/>
      <c r="AB165" s="7"/>
      <c r="AC165" s="5"/>
      <c r="AD165" s="5"/>
      <c r="AE165" s="8"/>
      <c r="AF165" s="8"/>
      <c r="AG165" s="8"/>
      <c r="AH165" s="5"/>
      <c r="AI165" s="7"/>
      <c r="AJ165" s="7"/>
      <c r="AK165" s="5"/>
      <c r="AL165" s="5"/>
      <c r="AM165" s="5"/>
      <c r="AN165" s="14"/>
      <c r="AO165" s="14"/>
      <c r="AP165" s="14"/>
      <c r="AQ165" s="14"/>
      <c r="AR165" s="14"/>
      <c r="AS165" s="14"/>
      <c r="AT165" s="5"/>
      <c r="AU165" s="15"/>
      <c r="AV165" s="15"/>
      <c r="AW165" s="15"/>
      <c r="AX165" s="8"/>
      <c r="AY165" s="5"/>
    </row>
    <row r="166" customFormat="false" ht="13.8" hidden="false" customHeight="false" outlineLevel="0" collapsed="false">
      <c r="A166" s="5"/>
      <c r="B166" s="6"/>
      <c r="C166" s="7"/>
      <c r="D166" s="7"/>
      <c r="E166" s="5"/>
      <c r="F166" s="8"/>
      <c r="G166" s="8"/>
      <c r="H166" s="8"/>
      <c r="I166" s="8"/>
      <c r="J166" s="5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5"/>
      <c r="V166" s="11"/>
      <c r="W166" s="14"/>
      <c r="X166" s="7"/>
      <c r="Y166" s="7"/>
      <c r="Z166" s="7"/>
      <c r="AA166" s="7"/>
      <c r="AB166" s="7"/>
      <c r="AC166" s="5"/>
      <c r="AD166" s="5"/>
      <c r="AE166" s="8"/>
      <c r="AF166" s="8"/>
      <c r="AG166" s="8"/>
      <c r="AH166" s="5"/>
      <c r="AI166" s="7"/>
      <c r="AJ166" s="7"/>
      <c r="AK166" s="5"/>
      <c r="AL166" s="5"/>
      <c r="AM166" s="5"/>
      <c r="AN166" s="14"/>
      <c r="AO166" s="14"/>
      <c r="AP166" s="14"/>
      <c r="AQ166" s="14"/>
      <c r="AR166" s="14"/>
      <c r="AS166" s="14"/>
      <c r="AT166" s="5"/>
      <c r="AU166" s="15"/>
      <c r="AV166" s="15"/>
      <c r="AW166" s="15"/>
      <c r="AX166" s="8"/>
      <c r="AY166" s="5"/>
    </row>
    <row r="167" customFormat="false" ht="13.8" hidden="false" customHeight="false" outlineLevel="0" collapsed="false">
      <c r="A167" s="5"/>
      <c r="B167" s="6"/>
      <c r="C167" s="7"/>
      <c r="D167" s="7"/>
      <c r="E167" s="5"/>
      <c r="F167" s="8"/>
      <c r="G167" s="8"/>
      <c r="H167" s="8"/>
      <c r="I167" s="8"/>
      <c r="J167" s="5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5"/>
      <c r="V167" s="11"/>
      <c r="W167" s="14"/>
      <c r="X167" s="7"/>
      <c r="Y167" s="7"/>
      <c r="Z167" s="7"/>
      <c r="AA167" s="7"/>
      <c r="AB167" s="7"/>
      <c r="AC167" s="5"/>
      <c r="AD167" s="5"/>
      <c r="AE167" s="8"/>
      <c r="AF167" s="8"/>
      <c r="AG167" s="8"/>
      <c r="AH167" s="5"/>
      <c r="AI167" s="7"/>
      <c r="AJ167" s="7"/>
      <c r="AK167" s="5"/>
      <c r="AL167" s="5"/>
      <c r="AM167" s="5"/>
      <c r="AN167" s="14"/>
      <c r="AO167" s="14"/>
      <c r="AP167" s="14"/>
      <c r="AQ167" s="14"/>
      <c r="AR167" s="14"/>
      <c r="AS167" s="14"/>
      <c r="AT167" s="5"/>
      <c r="AU167" s="15"/>
      <c r="AV167" s="15"/>
      <c r="AW167" s="15"/>
      <c r="AX167" s="8"/>
      <c r="AY167" s="5"/>
    </row>
    <row r="168" customFormat="false" ht="13.8" hidden="false" customHeight="false" outlineLevel="0" collapsed="false">
      <c r="A168" s="5"/>
      <c r="B168" s="6"/>
      <c r="C168" s="7"/>
      <c r="D168" s="7"/>
      <c r="E168" s="5"/>
      <c r="F168" s="8"/>
      <c r="G168" s="8"/>
      <c r="H168" s="8"/>
      <c r="I168" s="8"/>
      <c r="J168" s="5"/>
      <c r="U168" s="5"/>
      <c r="V168" s="11"/>
      <c r="W168" s="14"/>
      <c r="X168" s="7"/>
      <c r="Y168" s="7"/>
      <c r="Z168" s="7"/>
      <c r="AA168" s="7"/>
      <c r="AB168" s="7"/>
      <c r="AC168" s="5"/>
      <c r="AD168" s="5"/>
      <c r="AE168" s="8"/>
      <c r="AF168" s="8"/>
      <c r="AG168" s="8"/>
      <c r="AH168" s="5"/>
      <c r="AI168" s="7"/>
      <c r="AJ168" s="7"/>
      <c r="AK168" s="5"/>
      <c r="AL168" s="5"/>
      <c r="AM168" s="5"/>
      <c r="AN168" s="14"/>
      <c r="AO168" s="14"/>
      <c r="AP168" s="14"/>
      <c r="AQ168" s="14"/>
      <c r="AR168" s="14"/>
      <c r="AS168" s="14"/>
      <c r="AT168" s="5"/>
      <c r="AU168" s="15"/>
      <c r="AV168" s="15"/>
      <c r="AW168" s="15"/>
      <c r="AX168" s="8"/>
      <c r="AY168" s="5"/>
    </row>
    <row r="169" customFormat="false" ht="13.8" hidden="false" customHeight="false" outlineLevel="0" collapsed="false">
      <c r="A169" s="5"/>
      <c r="B169" s="6"/>
      <c r="C169" s="7"/>
      <c r="D169" s="7"/>
      <c r="E169" s="5"/>
      <c r="F169" s="8"/>
      <c r="G169" s="8"/>
      <c r="H169" s="8"/>
      <c r="I169" s="8"/>
      <c r="J169" s="5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5"/>
      <c r="V169" s="11"/>
      <c r="W169" s="14"/>
      <c r="X169" s="7"/>
      <c r="Y169" s="7"/>
      <c r="Z169" s="7"/>
      <c r="AA169" s="7"/>
      <c r="AB169" s="7"/>
      <c r="AC169" s="5"/>
      <c r="AD169" s="5"/>
      <c r="AE169" s="8"/>
      <c r="AF169" s="8"/>
      <c r="AG169" s="8"/>
      <c r="AH169" s="5"/>
      <c r="AI169" s="7"/>
      <c r="AJ169" s="7"/>
      <c r="AK169" s="5"/>
      <c r="AL169" s="5"/>
      <c r="AM169" s="5"/>
      <c r="AN169" s="14"/>
      <c r="AO169" s="14"/>
      <c r="AP169" s="14"/>
      <c r="AQ169" s="14"/>
      <c r="AR169" s="14"/>
      <c r="AS169" s="14"/>
      <c r="AT169" s="5"/>
      <c r="AU169" s="15"/>
      <c r="AV169" s="15"/>
      <c r="AW169" s="15"/>
      <c r="AX169" s="8"/>
      <c r="AY169" s="5"/>
    </row>
    <row r="170" customFormat="false" ht="13.8" hidden="false" customHeight="false" outlineLevel="0" collapsed="false">
      <c r="A170" s="5"/>
      <c r="B170" s="6"/>
      <c r="C170" s="7"/>
      <c r="D170" s="7"/>
      <c r="E170" s="5"/>
      <c r="F170" s="8"/>
      <c r="G170" s="8"/>
      <c r="H170" s="8"/>
      <c r="I170" s="8"/>
      <c r="J170" s="5"/>
      <c r="U170" s="5"/>
      <c r="V170" s="11"/>
      <c r="W170" s="14"/>
      <c r="X170" s="7"/>
      <c r="Y170" s="7"/>
      <c r="Z170" s="7"/>
      <c r="AA170" s="7"/>
      <c r="AB170" s="7"/>
      <c r="AC170" s="5"/>
      <c r="AD170" s="5"/>
      <c r="AE170" s="8"/>
      <c r="AF170" s="8"/>
      <c r="AG170" s="8"/>
      <c r="AH170" s="5"/>
      <c r="AI170" s="7"/>
      <c r="AJ170" s="7"/>
      <c r="AK170" s="5"/>
      <c r="AL170" s="5"/>
      <c r="AM170" s="5"/>
      <c r="AN170" s="14"/>
      <c r="AO170" s="14"/>
      <c r="AP170" s="14"/>
      <c r="AQ170" s="14"/>
      <c r="AR170" s="14"/>
      <c r="AS170" s="14"/>
      <c r="AT170" s="5"/>
      <c r="AU170" s="15"/>
      <c r="AV170" s="15"/>
      <c r="AW170" s="15"/>
      <c r="AX170" s="8"/>
      <c r="AY170" s="5"/>
    </row>
    <row r="171" customFormat="false" ht="13.8" hidden="false" customHeight="false" outlineLevel="0" collapsed="false">
      <c r="A171" s="5"/>
      <c r="B171" s="6"/>
      <c r="C171" s="7"/>
      <c r="D171" s="7"/>
      <c r="E171" s="5"/>
      <c r="F171" s="8"/>
      <c r="G171" s="8"/>
      <c r="H171" s="8"/>
      <c r="I171" s="8"/>
      <c r="J171" s="5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5"/>
      <c r="V171" s="11"/>
      <c r="W171" s="14"/>
      <c r="X171" s="7"/>
      <c r="Y171" s="7"/>
      <c r="Z171" s="7"/>
      <c r="AA171" s="7"/>
      <c r="AB171" s="7"/>
      <c r="AC171" s="5"/>
      <c r="AD171" s="5"/>
      <c r="AE171" s="8"/>
      <c r="AF171" s="8"/>
      <c r="AG171" s="8"/>
      <c r="AH171" s="5"/>
      <c r="AI171" s="7"/>
      <c r="AJ171" s="7"/>
      <c r="AK171" s="5"/>
      <c r="AL171" s="5"/>
      <c r="AM171" s="5"/>
      <c r="AN171" s="14"/>
      <c r="AO171" s="14"/>
      <c r="AP171" s="14"/>
      <c r="AQ171" s="14"/>
      <c r="AR171" s="14"/>
      <c r="AS171" s="14"/>
      <c r="AT171" s="5"/>
      <c r="AU171" s="15"/>
      <c r="AV171" s="15"/>
      <c r="AW171" s="15"/>
      <c r="AX171" s="8"/>
      <c r="AY171" s="5"/>
    </row>
    <row r="172" customFormat="false" ht="13.8" hidden="false" customHeight="false" outlineLevel="0" collapsed="false">
      <c r="A172" s="5"/>
      <c r="B172" s="6"/>
      <c r="C172" s="7"/>
      <c r="D172" s="7"/>
      <c r="E172" s="5"/>
      <c r="F172" s="8"/>
      <c r="G172" s="8"/>
      <c r="H172" s="8"/>
      <c r="I172" s="8"/>
      <c r="J172" s="5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5"/>
      <c r="V172" s="11"/>
      <c r="W172" s="14"/>
      <c r="X172" s="7"/>
      <c r="Y172" s="7"/>
      <c r="Z172" s="7"/>
      <c r="AA172" s="7"/>
      <c r="AB172" s="7"/>
      <c r="AC172" s="5"/>
      <c r="AD172" s="5"/>
      <c r="AE172" s="8"/>
      <c r="AF172" s="8"/>
      <c r="AG172" s="8"/>
      <c r="AH172" s="5"/>
      <c r="AI172" s="7"/>
      <c r="AJ172" s="7"/>
      <c r="AK172" s="5"/>
      <c r="AL172" s="5"/>
      <c r="AM172" s="5"/>
      <c r="AN172" s="14"/>
      <c r="AO172" s="14"/>
      <c r="AP172" s="14"/>
      <c r="AQ172" s="14"/>
      <c r="AR172" s="14"/>
      <c r="AS172" s="14"/>
      <c r="AT172" s="5"/>
      <c r="AU172" s="15"/>
      <c r="AV172" s="15"/>
      <c r="AW172" s="15"/>
      <c r="AX172" s="8"/>
      <c r="AY172" s="5"/>
    </row>
    <row r="173" customFormat="false" ht="13.8" hidden="false" customHeight="false" outlineLevel="0" collapsed="false">
      <c r="A173" s="5"/>
      <c r="B173" s="6"/>
      <c r="C173" s="7"/>
      <c r="D173" s="7"/>
      <c r="E173" s="5"/>
      <c r="F173" s="8"/>
      <c r="G173" s="8"/>
      <c r="H173" s="8"/>
      <c r="I173" s="8"/>
      <c r="J173" s="5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5"/>
      <c r="V173" s="11"/>
      <c r="W173" s="14"/>
      <c r="X173" s="7"/>
      <c r="Y173" s="7"/>
      <c r="Z173" s="7"/>
      <c r="AA173" s="7"/>
      <c r="AB173" s="7"/>
      <c r="AC173" s="5"/>
      <c r="AD173" s="5"/>
      <c r="AE173" s="8"/>
      <c r="AF173" s="8"/>
      <c r="AG173" s="8"/>
      <c r="AH173" s="5"/>
      <c r="AI173" s="7"/>
      <c r="AJ173" s="7"/>
      <c r="AK173" s="5"/>
      <c r="AL173" s="5"/>
      <c r="AM173" s="5"/>
      <c r="AN173" s="14"/>
      <c r="AO173" s="14"/>
      <c r="AP173" s="14"/>
      <c r="AQ173" s="14"/>
      <c r="AR173" s="14"/>
      <c r="AS173" s="14"/>
      <c r="AT173" s="5"/>
      <c r="AU173" s="15"/>
      <c r="AV173" s="15"/>
      <c r="AW173" s="15"/>
      <c r="AX173" s="8"/>
      <c r="AY173" s="5"/>
    </row>
    <row r="174" customFormat="false" ht="13.8" hidden="false" customHeight="false" outlineLevel="0" collapsed="false">
      <c r="A174" s="5"/>
      <c r="B174" s="6"/>
      <c r="C174" s="7"/>
      <c r="D174" s="7"/>
      <c r="E174" s="5"/>
      <c r="F174" s="8"/>
      <c r="G174" s="8"/>
      <c r="H174" s="8"/>
      <c r="I174" s="8"/>
      <c r="J174" s="5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5"/>
      <c r="V174" s="11"/>
      <c r="W174" s="14"/>
      <c r="X174" s="7"/>
      <c r="Y174" s="7"/>
      <c r="Z174" s="7"/>
      <c r="AA174" s="7"/>
      <c r="AB174" s="7"/>
      <c r="AC174" s="5"/>
      <c r="AD174" s="5"/>
      <c r="AE174" s="8"/>
      <c r="AF174" s="8"/>
      <c r="AG174" s="8"/>
      <c r="AH174" s="5"/>
      <c r="AI174" s="7"/>
      <c r="AJ174" s="7"/>
      <c r="AK174" s="5"/>
      <c r="AL174" s="5"/>
      <c r="AM174" s="5"/>
      <c r="AN174" s="14"/>
      <c r="AO174" s="14"/>
      <c r="AP174" s="14"/>
      <c r="AQ174" s="14"/>
      <c r="AR174" s="14"/>
      <c r="AS174" s="14"/>
      <c r="AT174" s="5"/>
      <c r="AU174" s="15"/>
      <c r="AV174" s="15"/>
      <c r="AW174" s="15"/>
      <c r="AX174" s="8"/>
      <c r="AY174" s="5"/>
    </row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Y7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LibreOffice/6.4.7.2$Linux_X86_64 LibreOffice_project/40$Build-2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2022-05-20T10:13:06Z</dcterms:created>
  <dc:creator>D Holiaka</dc:creator>
  <dc:description/>
  <dc:language>en-US</dc:language>
  <cp:lastModifiedBy/>
  <dcterms:modified xsi:type="dcterms:W3CDTF">2025-04-11T16:18:03Z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